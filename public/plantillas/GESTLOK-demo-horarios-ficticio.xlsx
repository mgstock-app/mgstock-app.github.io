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ómo usar" sheetId="1" state="visible" r:id="rId3"/>
    <sheet name="Semana" sheetId="2" state="visible" r:id="rId4"/>
    <sheet name="Resumen" sheetId="3" state="visible" r:id="rId5"/>
    <sheet name="Equipo" sheetId="4" state="visible" r:id="rId6"/>
    <sheet name="Feriad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<sst xmlns="http://schemas.openxmlformats.org/spreadsheetml/2006/main" count="219" uniqueCount="109">
  <si>
    <t xml:space="preserve">Planilla semanal de horarios · GESTLOK</t>
  </si>
  <si>
    <t xml:space="preserve">EJEMPLO CON DATOS FICTICIOS (demo de GESTLOK). Ninguna persona ni local es real.</t>
  </si>
  <si>
    <t xml:space="preserve">Pestaña «Equipo»: cargá a tu gente una sola vez (nombre, puesto, si cobra por horas o por turnos y cuántas horas vale un OFF).</t>
  </si>
  <si>
    <t xml:space="preserve">Pestaña «Semana»: escribí el local y la fecha del lunes. Los días, las fechas y los feriados se completan solos.</t>
  </si>
  <si>
    <t xml:space="preserve">Cargá entrada y salida con formato 10:00. Si trabaja de mañana y de noche, cargá los dos turnos. Si sale pasada la medianoche (ej. 01:00), se calcula bien.</t>
  </si>
  <si>
    <t xml:space="preserve">En «Estado» elegí OFF, Feriado, Ausente, Ausente justificado o Vacaciones. «Feriado» es cuando la persona trabajó ese día feriado. Si trabajó un día normal, dejalo vacío.</t>
  </si>
  <si>
    <t xml:space="preserve">Pestaña «Resumen»: total de la semana de cada persona (trabajado, OFF, feriado, ausentes y vacaciones), listo para imprimir o enviar.</t>
  </si>
  <si>
    <t xml:space="preserve">Nueva semana: duplicá el archivo o la pestaña, borrá los horarios celestes y cambiá la fecha del lunes.</t>
  </si>
  <si>
    <t xml:space="preserve">Para usarla en GESTLOK: subila a tu Google Drive, abrila con Google Sheets y pegá su enlace en Administrar a los empleados › Horarios.</t>
  </si>
  <si>
    <t xml:space="preserve">Colores</t>
  </si>
  <si>
    <t xml:space="preserve">Celeste: celdas para completar</t>
  </si>
  <si>
    <t xml:space="preserve">Blanco: se calcula solo</t>
  </si>
  <si>
    <t xml:space="preserve">Ámbar: feriado</t>
  </si>
  <si>
    <t xml:space="preserve">Rojo: OFF</t>
  </si>
  <si>
    <t xml:space="preserve">Gris: ausente</t>
  </si>
  <si>
    <t xml:space="preserve">Verde: vacaciones</t>
  </si>
  <si>
    <t xml:space="preserve">Cómo se calcula</t>
  </si>
  <si>
    <t xml:space="preserve">Horas del día (quienes cobran por horas) = (salida − entrada) del turno mañana + la del turno noche.</t>
  </si>
  <si>
    <t xml:space="preserve">Turnos (quienes cobran por turnos): cada horario de entrada cargado suma 1 turno, de mañana o de noche.</t>
  </si>
  <si>
    <t xml:space="preserve">OFF: por horas suma las «horas que paga» de la pestaña Equipo; por turnos suma 1 turno.</t>
  </si>
  <si>
    <t xml:space="preserve">Feriado: se paga aparte, además de lo trabajado (horas o turnos de ese día).</t>
  </si>
  <si>
    <t xml:space="preserve">Total a liquidar = Trabajado + OFF + Feriado. Ausentes y vacaciones se informan en días.</t>
  </si>
  <si>
    <t xml:space="preserve">Local</t>
  </si>
  <si>
    <t xml:space="preserve">Mercado Central</t>
  </si>
  <si>
    <t xml:space="preserve">Semana desde (lunes)</t>
  </si>
  <si>
    <t xml:space="preserve">hasta</t>
  </si>
  <si>
    <t xml:space="preserve">Celeste = completar</t>
  </si>
  <si>
    <t xml:space="preserve">Colaborador</t>
  </si>
  <si>
    <t xml:space="preserve">Detalle</t>
  </si>
  <si>
    <t xml:space="preserve">Horas
trabajadas</t>
  </si>
  <si>
    <t xml:space="preserve">Turnos</t>
  </si>
  <si>
    <t xml:space="preserve">OFF
(días)</t>
  </si>
  <si>
    <t xml:space="preserve">Feriado</t>
  </si>
  <si>
    <t xml:space="preserve">Ausentes
(días)</t>
  </si>
  <si>
    <t xml:space="preserve">Total a liquidar
(trab. + OFF + fer.)</t>
  </si>
  <si>
    <t xml:space="preserve">Cobra por</t>
  </si>
  <si>
    <t xml:space="preserve">Horas OFF</t>
  </si>
  <si>
    <t xml:space="preserve">Horas en feriado</t>
  </si>
  <si>
    <t xml:space="preserve">Turnos en feriado</t>
  </si>
  <si>
    <t xml:space="preserve">Total horas</t>
  </si>
  <si>
    <t xml:space="preserve">Total turnos</t>
  </si>
  <si>
    <t xml:space="preserve">Mañana · entrada</t>
  </si>
  <si>
    <t xml:space="preserve">Mañana · salida</t>
  </si>
  <si>
    <t xml:space="preserve">Noche · entrada</t>
  </si>
  <si>
    <t xml:space="preserve">Noche · salida</t>
  </si>
  <si>
    <t xml:space="preserve">Estado</t>
  </si>
  <si>
    <t xml:space="preserve">OFF</t>
  </si>
  <si>
    <t xml:space="preserve">Horas del día</t>
  </si>
  <si>
    <t xml:space="preserve">Ausente justificado</t>
  </si>
  <si>
    <t xml:space="preserve">Ausente</t>
  </si>
  <si>
    <t xml:space="preserve">Vacaciones</t>
  </si>
  <si>
    <t xml:space="preserve">Turnos: cada horario de entrada cargado suma 1 turno. Horas: salida − entrada de cada turno (si sale pasada la medianoche se calcula bien). Un OFF suma las horas de la pestaña Equipo o 1 turno.</t>
  </si>
  <si>
    <t xml:space="preserve">Resumen de la semana</t>
  </si>
  <si>
    <t xml:space="preserve">Semana</t>
  </si>
  <si>
    <t xml:space="preserve">al</t>
  </si>
  <si>
    <t xml:space="preserve">Puesto</t>
  </si>
  <si>
    <t xml:space="preserve">Trabajado</t>
  </si>
  <si>
    <t xml:space="preserve">Ausentes</t>
  </si>
  <si>
    <t xml:space="preserve">Total a liquidar</t>
  </si>
  <si>
    <t xml:space="preserve">Observaciones</t>
  </si>
  <si>
    <t xml:space="preserve">Trabajado, OFF y feriado se suman en «Total a liquidar» (en horas o turnos según cómo cobra cada persona). Ausentes y vacaciones se informan en días.</t>
  </si>
  <si>
    <t xml:space="preserve">Equipo</t>
  </si>
  <si>
    <t xml:space="preserve">Cargá a cada persona una sola vez. La planilla semanal toma los nombres de acá (hasta 10).</t>
  </si>
  <si>
    <t xml:space="preserve">#</t>
  </si>
  <si>
    <t xml:space="preserve">OFF (horas que paga)</t>
  </si>
  <si>
    <t xml:space="preserve">Notas</t>
  </si>
  <si>
    <t xml:space="preserve">Sofía Ríos</t>
  </si>
  <si>
    <t xml:space="preserve">Encargada</t>
  </si>
  <si>
    <t xml:space="preserve">Turno mañana</t>
  </si>
  <si>
    <t xml:space="preserve">Lucas Ferreyra</t>
  </si>
  <si>
    <t xml:space="preserve">Encargado</t>
  </si>
  <si>
    <t xml:space="preserve">Turno noche</t>
  </si>
  <si>
    <t xml:space="preserve">Brenda Quiroga</t>
  </si>
  <si>
    <t xml:space="preserve">Mañana y noche</t>
  </si>
  <si>
    <t xml:space="preserve">Nicolás Paz</t>
  </si>
  <si>
    <t xml:space="preserve">Staff</t>
  </si>
  <si>
    <t xml:space="preserve">Horas</t>
  </si>
  <si>
    <t xml:space="preserve">Caja</t>
  </si>
  <si>
    <t xml:space="preserve">Paula Medina</t>
  </si>
  <si>
    <t xml:space="preserve">Reposición</t>
  </si>
  <si>
    <t xml:space="preserve">Tomás Godoy</t>
  </si>
  <si>
    <t xml:space="preserve">Depósito</t>
  </si>
  <si>
    <t xml:space="preserve">Valentina Sosa</t>
  </si>
  <si>
    <t xml:space="preserve">Atención al público</t>
  </si>
  <si>
    <t xml:space="preserve">Rocío Álvarez</t>
  </si>
  <si>
    <t xml:space="preserve">Fines de semana</t>
  </si>
  <si>
    <t xml:space="preserve">«OFF» solo se usa en horas para quienes cobran por horas (ej. 4:30). Quienes cobran por turnos suman 1 turno por OFF.</t>
  </si>
  <si>
    <t xml:space="preserve">Feriados</t>
  </si>
  <si>
    <t xml:space="preserve">Los feriados de esta lista se pintan en ámbar en el encabezado de la semana como recordatorio. Para pagarlo, elegí «Feriado» en el Estado de quien trabajó ese día.</t>
  </si>
  <si>
    <t xml:space="preserve">Fecha</t>
  </si>
  <si>
    <t xml:space="preserve">Motivo</t>
  </si>
  <si>
    <t xml:space="preserve">Tipo</t>
  </si>
  <si>
    <t xml:space="preserve">Año Nuevo</t>
  </si>
  <si>
    <t xml:space="preserve">Carnaval</t>
  </si>
  <si>
    <t xml:space="preserve">Día no laborable con fines turísticos</t>
  </si>
  <si>
    <t xml:space="preserve">No laborable</t>
  </si>
  <si>
    <t xml:space="preserve">Día Nacional de la Memoria por la Verdad y la Justicia</t>
  </si>
  <si>
    <t xml:space="preserve">Día del Veterano y de los Caídos en la Guerra de Malvinas</t>
  </si>
  <si>
    <t xml:space="preserve">Viernes Santo</t>
  </si>
  <si>
    <t xml:space="preserve">Día del Trabajador</t>
  </si>
  <si>
    <t xml:space="preserve">Día de la Revolución de Mayo</t>
  </si>
  <si>
    <t xml:space="preserve">Paso a la Inmortalidad del Gral. Martín Miguel de Güemes (trasladado)</t>
  </si>
  <si>
    <t xml:space="preserve">Paso a la Inmortalidad del Gral. Manuel Belgrano</t>
  </si>
  <si>
    <t xml:space="preserve">Día de la Independencia</t>
  </si>
  <si>
    <t xml:space="preserve">Paso a la Inmortalidad del Gral. José de San Martín</t>
  </si>
  <si>
    <t xml:space="preserve">Día del Respeto a la Diversidad Cultural</t>
  </si>
  <si>
    <t xml:space="preserve">Día de la Soberanía Nacional (trasladado)</t>
  </si>
  <si>
    <t xml:space="preserve">Inmaculada Concepción de María</t>
  </si>
  <si>
    <t xml:space="preserve">Navidad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</si>
</sst>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dd/mm"/>
    <numFmt numFmtId="167" formatCode="hh:mm"/>
    <numFmt numFmtId="168" formatCode="[h]:mm;;\–"/>
    <numFmt numFmtId="169" formatCode="General"/>
    <numFmt numFmtId="170" formatCode="0&quot; turno&quot;"/>
    <numFmt numFmtId="171" formatCode="[h]:mm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3462"/>
      <name val="Arial"/>
      <family val="0"/>
      <charset val="1"/>
    </font>
    <font>
      <b val="true"/>
      <sz val="11"/>
      <color rgb="FFB42318"/>
      <name val="Arial"/>
      <family val="0"/>
      <charset val="1"/>
    </font>
    <font>
      <b val="true"/>
      <sz val="11"/>
      <color rgb="FF123462"/>
      <name val="Arial"/>
      <family val="0"/>
      <charset val="1"/>
    </font>
    <font>
      <sz val="11"/>
      <color rgb="FF17263E"/>
      <name val="Arial"/>
      <family val="0"/>
      <charset val="1"/>
    </font>
    <font>
      <b val="true"/>
      <sz val="10"/>
      <color rgb="FF5D6B7E"/>
      <name val="Arial"/>
      <family val="0"/>
      <charset val="1"/>
    </font>
    <font>
      <b val="true"/>
      <sz val="11"/>
      <color rgb="FF17263E"/>
      <name val="Arial"/>
      <family val="0"/>
      <charset val="1"/>
    </font>
    <font>
      <i val="true"/>
      <sz val="9"/>
      <color rgb="FF5D6B7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23462"/>
      <name val="Arial"/>
      <family val="0"/>
      <charset val="1"/>
    </font>
    <font>
      <sz val="9"/>
      <color rgb="FF5D6B7E"/>
      <name val="Arial"/>
      <family val="0"/>
      <charset val="1"/>
    </font>
    <font>
      <sz val="10"/>
      <color rgb="FF17263E"/>
      <name val="Arial"/>
      <family val="0"/>
      <charset val="1"/>
    </font>
    <font>
      <b val="true"/>
      <sz val="9"/>
      <color rgb="FF17263E"/>
      <name val="Arial"/>
      <family val="0"/>
      <charset val="1"/>
    </font>
    <font>
      <b val="true"/>
      <sz val="9"/>
      <color rgb="FF5D6B7E"/>
      <name val="Arial"/>
      <family val="0"/>
      <charset val="1"/>
    </font>
    <font>
      <sz val="10"/>
      <color rgb="FF5D6B7E"/>
      <name val="Arial"/>
      <family val="0"/>
      <charset val="1"/>
    </font>
    <font>
      <sz val="11"/>
      <color rgb="FF5D6B7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3F2FD"/>
        <bgColor rgb="FFE0F3EA"/>
      </patternFill>
    </fill>
    <fill>
      <patternFill patternType="solid">
        <fgColor rgb="FFC88912"/>
        <bgColor rgb="FF808000"/>
      </patternFill>
    </fill>
    <fill>
      <patternFill patternType="solid">
        <fgColor rgb="FFFCE1E0"/>
        <bgColor rgb="FFEDEFF4"/>
      </patternFill>
    </fill>
    <fill>
      <patternFill patternType="solid">
        <fgColor rgb="FFEDEFF4"/>
        <bgColor rgb="FFEAF6EE"/>
      </patternFill>
    </fill>
    <fill>
      <patternFill patternType="solid">
        <fgColor rgb="FFE0F3EA"/>
        <bgColor rgb="FFEAF6EE"/>
      </patternFill>
    </fill>
    <fill>
      <patternFill patternType="solid">
        <fgColor rgb="FF123462"/>
        <bgColor rgb="FF17263E"/>
      </patternFill>
    </fill>
    <fill>
      <patternFill patternType="solid">
        <fgColor rgb="FFF3F6FA"/>
        <bgColor rgb="FFEAF6EE"/>
      </patternFill>
    </fill>
    <fill>
      <patternFill patternType="solid">
        <fgColor rgb="FFEAF6EE"/>
        <bgColor rgb="FFEDEF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  <border diagonalUp="false" diagonalDown="false">
      <left style="thin">
        <color rgb="FFC9D3DF"/>
      </left>
      <right style="thin">
        <color rgb="FFC9D3DF"/>
      </right>
      <top style="thin">
        <color rgb="FFC9D3D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B42318"/>
      </font>
      <fill>
        <patternFill>
          <bgColor rgb="FFFCE1E0"/>
        </patternFill>
      </fill>
    </dxf>
    <dxf>
      <font>
        <b val="1"/>
        <color rgb="FFFFFFFF"/>
      </font>
      <fill>
        <patternFill>
          <bgColor rgb="FFC88912"/>
        </patternFill>
      </fill>
    </dxf>
    <dxf>
      <font>
        <b val="1"/>
        <color rgb="FF5B6678"/>
      </font>
      <fill>
        <patternFill>
          <bgColor rgb="FFEDEFF4"/>
        </patternFill>
      </fill>
    </dxf>
    <dxf>
      <font>
        <b val="1"/>
        <color rgb="FF166534"/>
      </font>
      <fill>
        <patternFill>
          <bgColor rgb="FFE0F3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5B6678"/>
      <rgbColor rgb="FF9999FF"/>
      <rgbColor rgb="FF993366"/>
      <rgbColor rgb="FFEAF6EE"/>
      <rgbColor rgb="FFE0F3EA"/>
      <rgbColor rgb="FF660066"/>
      <rgbColor rgb="FFFF8080"/>
      <rgbColor rgb="FF0066CC"/>
      <rgbColor rgb="FFC9D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DEFF4"/>
      <rgbColor rgb="FFF3F6FA"/>
      <rgbColor rgb="FF99CCFF"/>
      <rgbColor rgb="FFFF99CC"/>
      <rgbColor rgb="FFCC99FF"/>
      <rgbColor rgb="FFFCE1E0"/>
      <rgbColor rgb="FF3366FF"/>
      <rgbColor rgb="FF33CCCC"/>
      <rgbColor rgb="FF99CC00"/>
      <rgbColor rgb="FFFFCC00"/>
      <rgbColor rgb="FFC88912"/>
      <rgbColor rgb="FFFF6600"/>
      <rgbColor rgb="FF5D6B7E"/>
      <rgbColor rgb="FF969696"/>
      <rgbColor rgb="FF123462"/>
      <rgbColor rgb="FF339966"/>
      <rgbColor rgb="FF003300"/>
      <rgbColor rgb="FF333300"/>
      <rgbColor rgb="FFB42318"/>
      <rgbColor rgb="FF993366"/>
      <rgbColor rgb="FF333399"/>
      <rgbColor rgb="FF1726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10"/>
  </cols>
  <sheetData>
    <row r="1" customFormat="false" ht="19.7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B2" s="2" t="s">
        <v>1</v>
      </c>
    </row>
    <row r="4" customFormat="false" ht="26.85" hidden="false" customHeight="false" outlineLevel="0" collapsed="false">
      <c r="B4" s="3" t="n">
        <v>1</v>
      </c>
      <c r="C4" s="4" t="s">
        <v>2</v>
      </c>
    </row>
    <row r="5" customFormat="false" ht="15" hidden="false" customHeight="false" outlineLevel="0" collapsed="false">
      <c r="B5" s="3" t="n">
        <v>2</v>
      </c>
      <c r="C5" s="4" t="s">
        <v>3</v>
      </c>
    </row>
    <row r="6" customFormat="false" ht="26.85" hidden="false" customHeight="false" outlineLevel="0" collapsed="false">
      <c r="B6" s="3" t="n">
        <v>3</v>
      </c>
      <c r="C6" s="4" t="s">
        <v>4</v>
      </c>
    </row>
    <row r="7" customFormat="false" ht="26.85" hidden="false" customHeight="false" outlineLevel="0" collapsed="false">
      <c r="B7" s="3" t="n">
        <v>4</v>
      </c>
      <c r="C7" s="4" t="s">
        <v>5</v>
      </c>
    </row>
    <row r="8" customFormat="false" ht="26.85" hidden="false" customHeight="false" outlineLevel="0" collapsed="false">
      <c r="B8" s="3" t="n">
        <v>5</v>
      </c>
      <c r="C8" s="4" t="s">
        <v>6</v>
      </c>
    </row>
    <row r="9" customFormat="false" ht="15" hidden="false" customHeight="false" outlineLevel="0" collapsed="false">
      <c r="B9" s="3" t="n">
        <v>6</v>
      </c>
      <c r="C9" s="4" t="s">
        <v>7</v>
      </c>
    </row>
    <row r="10" customFormat="false" ht="26.85" hidden="false" customHeight="false" outlineLevel="0" collapsed="false">
      <c r="B10" s="3" t="n">
        <v>7</v>
      </c>
      <c r="C10" s="4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5"/>
      <c r="C13" s="6" t="s">
        <v>10</v>
      </c>
    </row>
    <row r="14" customFormat="false" ht="15" hidden="false" customHeight="false" outlineLevel="0" collapsed="false">
      <c r="C14" s="6" t="s">
        <v>11</v>
      </c>
    </row>
    <row r="15" customFormat="false" ht="15" hidden="false" customHeight="false" outlineLevel="0" collapsed="false">
      <c r="B15" s="7"/>
      <c r="C15" s="6" t="s">
        <v>12</v>
      </c>
    </row>
    <row r="16" customFormat="false" ht="15" hidden="false" customHeight="false" outlineLevel="0" collapsed="false">
      <c r="B16" s="8"/>
      <c r="C16" s="6" t="s">
        <v>13</v>
      </c>
    </row>
    <row r="17" customFormat="false" ht="15" hidden="false" customHeight="false" outlineLevel="0" collapsed="false">
      <c r="B17" s="9"/>
      <c r="C17" s="6" t="s">
        <v>14</v>
      </c>
    </row>
    <row r="18" customFormat="false" ht="15" hidden="false" customHeight="false" outlineLevel="0" collapsed="false">
      <c r="B18" s="10"/>
      <c r="C18" s="6" t="s">
        <v>15</v>
      </c>
    </row>
    <row r="20" customFormat="false" ht="15" hidden="false" customHeight="false" outlineLevel="0" collapsed="false">
      <c r="B20" s="3" t="s">
        <v>16</v>
      </c>
    </row>
    <row r="21" customFormat="false" ht="15" hidden="false" customHeight="false" outlineLevel="0" collapsed="false">
      <c r="C21" s="11" t="s">
        <v>17</v>
      </c>
    </row>
    <row r="22" customFormat="false" ht="15" hidden="false" customHeight="false" outlineLevel="0" collapsed="false">
      <c r="C22" s="11" t="s">
        <v>18</v>
      </c>
    </row>
    <row r="23" customFormat="false" ht="15" hidden="false" customHeight="false" outlineLevel="0" collapsed="false">
      <c r="C23" s="11" t="s">
        <v>19</v>
      </c>
    </row>
    <row r="24" customFormat="false" ht="15" hidden="false" customHeight="false" outlineLevel="0" collapsed="false">
      <c r="C24" s="11" t="s">
        <v>20</v>
      </c>
    </row>
    <row r="25" customFormat="false" ht="15" hidden="false" customHeight="false" outlineLevel="0" collapsed="false">
      <c r="C25" s="11" t="s">
        <v>21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10" min="3" style="0" width="11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17"/>
    <col collapsed="false" customWidth="true" hidden="false" outlineLevel="0" max="16" min="16" style="0" width="3"/>
    <col collapsed="false" customWidth="true" hidden="true" outlineLevel="1" max="22" min="17" style="0" width="1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D2" s="12" t="s">
        <v>22</v>
      </c>
      <c r="E2" s="13" t="s">
        <v>23</v>
      </c>
      <c r="G2" s="12" t="s">
        <v>24</v>
      </c>
      <c r="I2" s="14" t="n">
        <v>46349</v>
      </c>
      <c r="J2" s="12" t="s">
        <v>25</v>
      </c>
      <c r="K2" s="15" t="n">
        <f aca="false">I2+6</f>
        <v>46355</v>
      </c>
      <c r="M2" s="16" t="s">
        <v>26</v>
      </c>
    </row>
    <row r="4" customFormat="false" ht="31.5" hidden="false" customHeight="true" outlineLevel="0" collapsed="false">
      <c r="A4" s="17" t="s">
        <v>27</v>
      </c>
      <c r="B4" s="17" t="s">
        <v>28</v>
      </c>
      <c r="C4" s="17" t="str">
        <f aca="false">CHOOSE(WEEKDAY(C5,2),"Lunes","Martes","Miércoles","Jueves","Viernes","Sábado","Domingo")</f>
        <v>Lunes</v>
      </c>
      <c r="D4" s="17" t="str">
        <f aca="false">CHOOSE(WEEKDAY(D5,2),"Lunes","Martes","Miércoles","Jueves","Viernes","Sábado","Domingo")</f>
        <v>Martes</v>
      </c>
      <c r="E4" s="17" t="str">
        <f aca="false">CHOOSE(WEEKDAY(E5,2),"Lunes","Martes","Miércoles","Jueves","Viernes","Sábado","Domingo")</f>
        <v>Miércoles</v>
      </c>
      <c r="F4" s="17" t="str">
        <f aca="false">CHOOSE(WEEKDAY(F5,2),"Lunes","Martes","Miércoles","Jueves","Viernes","Sábado","Domingo")</f>
        <v>Jueves</v>
      </c>
      <c r="G4" s="17" t="str">
        <f aca="false">CHOOSE(WEEKDAY(G5,2),"Lunes","Martes","Miércoles","Jueves","Viernes","Sábado","Domingo")</f>
        <v>Viernes</v>
      </c>
      <c r="H4" s="17" t="str">
        <f aca="false">CHOOSE(WEEKDAY(H5,2),"Lunes","Martes","Miércoles","Jueves","Viernes","Sábado","Domingo")</f>
        <v>Sábado</v>
      </c>
      <c r="I4" s="17" t="str">
        <f aca="false">CHOOSE(WEEKDAY(I5,2),"Lunes","Martes","Miércoles","Jueves","Viernes","Sábado","Domingo")</f>
        <v>Domingo</v>
      </c>
      <c r="J4" s="17" t="s">
        <v>29</v>
      </c>
      <c r="K4" s="17" t="s">
        <v>30</v>
      </c>
      <c r="L4" s="17" t="s">
        <v>31</v>
      </c>
      <c r="M4" s="17" t="s">
        <v>32</v>
      </c>
      <c r="N4" s="17" t="s">
        <v>33</v>
      </c>
      <c r="O4" s="17" t="s">
        <v>34</v>
      </c>
      <c r="Q4" s="18" t="s">
        <v>35</v>
      </c>
      <c r="R4" s="18" t="s">
        <v>36</v>
      </c>
      <c r="S4" s="18" t="s">
        <v>37</v>
      </c>
      <c r="T4" s="18" t="s">
        <v>38</v>
      </c>
      <c r="U4" s="18" t="s">
        <v>39</v>
      </c>
      <c r="V4" s="18" t="s">
        <v>40</v>
      </c>
    </row>
    <row r="5" customFormat="false" ht="15" hidden="false" customHeight="false" outlineLevel="0" collapsed="false">
      <c r="A5" s="19"/>
      <c r="B5" s="19"/>
      <c r="C5" s="20" t="n">
        <f aca="false">$I$2</f>
        <v>46349</v>
      </c>
      <c r="D5" s="20" t="n">
        <f aca="false">C5+1</f>
        <v>46350</v>
      </c>
      <c r="E5" s="20" t="n">
        <f aca="false">D5+1</f>
        <v>46351</v>
      </c>
      <c r="F5" s="20" t="n">
        <f aca="false">E5+1</f>
        <v>46352</v>
      </c>
      <c r="G5" s="20" t="n">
        <f aca="false">F5+1</f>
        <v>46353</v>
      </c>
      <c r="H5" s="20" t="n">
        <f aca="false">G5+1</f>
        <v>46354</v>
      </c>
      <c r="I5" s="20" t="n">
        <f aca="false">H5+1</f>
        <v>46355</v>
      </c>
      <c r="J5" s="19"/>
      <c r="K5" s="19"/>
      <c r="L5" s="19"/>
      <c r="M5" s="19"/>
      <c r="N5" s="19"/>
      <c r="O5" s="19"/>
    </row>
    <row r="6" customFormat="false" ht="15" hidden="false" customHeight="false" outlineLevel="0" collapsed="false">
      <c r="A6" s="19"/>
      <c r="B6" s="19"/>
      <c r="C6" s="19" t="str">
        <f aca="false">IF(COUNTIFS(Feriados!$A$5:$A$60,C5,Feriados!$C$5:$C$60,"Feriado")&gt;0,"Feriado","")</f>
        <v>Feriado</v>
      </c>
      <c r="D6" s="19" t="str">
        <f aca="false">IF(COUNTIFS(Feriados!$A$5:$A$60,D5,Feriados!$C$5:$C$60,"Feriado")&gt;0,"Feriado","")</f>
        <v/>
      </c>
      <c r="E6" s="19" t="str">
        <f aca="false">IF(COUNTIFS(Feriados!$A$5:$A$60,E5,Feriados!$C$5:$C$60,"Feriado")&gt;0,"Feriado","")</f>
        <v/>
      </c>
      <c r="F6" s="19" t="str">
        <f aca="false">IF(COUNTIFS(Feriados!$A$5:$A$60,F5,Feriados!$C$5:$C$60,"Feriado")&gt;0,"Feriado","")</f>
        <v/>
      </c>
      <c r="G6" s="19" t="str">
        <f aca="false">IF(COUNTIFS(Feriados!$A$5:$A$60,G5,Feriados!$C$5:$C$60,"Feriado")&gt;0,"Feriado","")</f>
        <v/>
      </c>
      <c r="H6" s="19" t="str">
        <f aca="false">IF(COUNTIFS(Feriados!$A$5:$A$60,H5,Feriados!$C$5:$C$60,"Feriado")&gt;0,"Feriado","")</f>
        <v/>
      </c>
      <c r="I6" s="19" t="str">
        <f aca="false">IF(COUNTIFS(Feriados!$A$5:$A$60,I5,Feriados!$C$5:$C$60,"Feriado")&gt;0,"Feriado","")</f>
        <v/>
      </c>
      <c r="J6" s="19"/>
      <c r="K6" s="19"/>
      <c r="L6" s="19"/>
      <c r="M6" s="19"/>
      <c r="N6" s="19"/>
      <c r="O6" s="19"/>
    </row>
    <row r="7" customFormat="false" ht="15" hidden="false" customHeight="false" outlineLevel="0" collapsed="false">
      <c r="A7" s="21" t="str">
        <f aca="false">IFERROR(INDEX(Equipo!$B$5:$B$14,1)&amp;"","")</f>
        <v>Sofía Ríos</v>
      </c>
      <c r="B7" s="22" t="s">
        <v>41</v>
      </c>
      <c r="C7" s="23" t="n">
        <v>0.375</v>
      </c>
      <c r="D7" s="23" t="n">
        <v>0.375</v>
      </c>
      <c r="E7" s="23" t="n">
        <v>0.375</v>
      </c>
      <c r="F7" s="23"/>
      <c r="G7" s="23" t="n">
        <v>0.375</v>
      </c>
      <c r="H7" s="23" t="n">
        <v>0.375</v>
      </c>
      <c r="I7" s="23" t="n">
        <v>0.416666666666667</v>
      </c>
      <c r="J7" s="24" t="str">
        <f aca="false">IF($Q7="Turnos","",SUM(C12:I12))</f>
        <v/>
      </c>
      <c r="K7" s="25" t="n">
        <f aca="false">SUMPRODUCT(((C7:I7&lt;&gt;"")+(C9:I9&lt;&gt;""))*((C11:I11="")+(C11:I11="Feriado")))</f>
        <v>6</v>
      </c>
      <c r="L7" s="25" t="n">
        <f aca="false">COUNTIF(C11:I11,"OFF")</f>
        <v>1</v>
      </c>
      <c r="M7" s="25" t="str">
        <f aca="false">IF($A7="","",IF($Q7="Horas",IF($S7=0,"–",TEXT($S7,"[h]:mm")&amp;" hs"),IF($T7=0,"–",$T7&amp;IF($T7=1," turno"," turnos"))))</f>
        <v>1 turno</v>
      </c>
      <c r="N7" s="25" t="n">
        <f aca="false">COUNTIF(C11:I11,"Ausente")</f>
        <v>0</v>
      </c>
      <c r="O7" s="26" t="str">
        <f aca="false">IF($A7="","",IF($Q7="Horas",TEXT($U7,"[h]:mm")&amp;" hs",$V7&amp;IF($V7=1," turno"," turnos")))</f>
        <v>8 turnos</v>
      </c>
      <c r="Q7" s="0" t="str">
        <f aca="false">IFERROR(INDEX(Equipo!$D$5:$D$14,1)&amp;"","")</f>
        <v>Turnos</v>
      </c>
      <c r="R7" s="18" t="n">
        <f aca="false">N(INDEX(Equipo!$E$5:$E$14,1))</f>
        <v>1</v>
      </c>
      <c r="S7" s="18" t="n">
        <f aca="false">SUMPRODUCT(C12:I12*(C11:I11="Feriado"))</f>
        <v>0.25</v>
      </c>
      <c r="T7" s="18" t="n">
        <f aca="false">COUNTIFS(C11:I11,"Feriado",C7:I7,"&lt;&gt;")+COUNTIFS(C11:I11,"Feriado",C9:I9,"&lt;&gt;")</f>
        <v>1</v>
      </c>
      <c r="U7" s="18" t="n">
        <f aca="false">N(J7)+L7*R7+S7</f>
        <v>1.25</v>
      </c>
      <c r="V7" s="18" t="n">
        <f aca="false">K7+L7+T7</f>
        <v>8</v>
      </c>
    </row>
    <row r="8" customFormat="false" ht="15" hidden="false" customHeight="false" outlineLevel="0" collapsed="false">
      <c r="A8" s="22" t="str">
        <f aca="false">IF($A7="","",INDEX(Equipo!$C$5:$C$14,1)&amp;"")</f>
        <v>Encargada</v>
      </c>
      <c r="B8" s="22" t="s">
        <v>42</v>
      </c>
      <c r="C8" s="23" t="n">
        <v>0.625</v>
      </c>
      <c r="D8" s="23" t="n">
        <v>0.625</v>
      </c>
      <c r="E8" s="23" t="n">
        <v>0.625</v>
      </c>
      <c r="F8" s="23"/>
      <c r="G8" s="23" t="n">
        <v>0.625</v>
      </c>
      <c r="H8" s="23" t="n">
        <v>0.625</v>
      </c>
      <c r="I8" s="23" t="n">
        <v>0.583333333333333</v>
      </c>
      <c r="J8" s="24"/>
      <c r="K8" s="24"/>
      <c r="L8" s="24"/>
      <c r="M8" s="24"/>
      <c r="N8" s="24"/>
      <c r="O8" s="24"/>
    </row>
    <row r="9" customFormat="false" ht="15" hidden="false" customHeight="false" outlineLevel="0" collapsed="false">
      <c r="A9" s="22" t="str">
        <f aca="false">IF($A7="","","Cobra por "&amp;LOWER(INDEX(Equipo!$D$5:$D$14,1)))</f>
        <v>Cobra por turnos</v>
      </c>
      <c r="B9" s="22" t="s">
        <v>43</v>
      </c>
      <c r="C9" s="23"/>
      <c r="D9" s="23"/>
      <c r="E9" s="23"/>
      <c r="F9" s="23"/>
      <c r="G9" s="23"/>
      <c r="H9" s="23"/>
      <c r="I9" s="23"/>
      <c r="J9" s="24"/>
      <c r="K9" s="24"/>
      <c r="L9" s="24"/>
      <c r="M9" s="24"/>
      <c r="N9" s="24"/>
      <c r="O9" s="24"/>
    </row>
    <row r="10" customFormat="false" ht="15" hidden="false" customHeight="false" outlineLevel="0" collapsed="false">
      <c r="B10" s="22" t="s">
        <v>44</v>
      </c>
      <c r="C10" s="23"/>
      <c r="D10" s="23"/>
      <c r="E10" s="23"/>
      <c r="F10" s="23"/>
      <c r="G10" s="23"/>
      <c r="H10" s="23"/>
      <c r="I10" s="23"/>
      <c r="J10" s="24"/>
      <c r="K10" s="24"/>
      <c r="L10" s="24"/>
      <c r="M10" s="24"/>
      <c r="N10" s="24"/>
      <c r="O10" s="24"/>
    </row>
    <row r="11" customFormat="false" ht="15" hidden="false" customHeight="false" outlineLevel="0" collapsed="false">
      <c r="B11" s="22" t="s">
        <v>45</v>
      </c>
      <c r="C11" s="27" t="s">
        <v>32</v>
      </c>
      <c r="D11" s="27"/>
      <c r="E11" s="27"/>
      <c r="F11" s="27" t="s">
        <v>46</v>
      </c>
      <c r="G11" s="27"/>
      <c r="H11" s="27"/>
      <c r="I11" s="27"/>
      <c r="J11" s="24"/>
      <c r="K11" s="24"/>
      <c r="L11" s="24"/>
      <c r="M11" s="24"/>
      <c r="N11" s="24"/>
      <c r="O11" s="24"/>
    </row>
    <row r="12" customFormat="false" ht="15" hidden="false" customHeight="false" outlineLevel="0" collapsed="false">
      <c r="B12" s="28" t="s">
        <v>47</v>
      </c>
      <c r="C12" s="29" t="n">
        <f aca="false">IF(AND(C11&lt;&gt;"",C11&lt;&gt;"Feriado"),0,IF(AND(C7&lt;&gt;"",C8&lt;&gt;""),MOD(C8-C7,1),0)+IF(AND(C9&lt;&gt;"",C10&lt;&gt;""),MOD(C10-C9,1),0))</f>
        <v>0.25</v>
      </c>
      <c r="D12" s="29" t="n">
        <f aca="false">IF(AND(D11&lt;&gt;"",D11&lt;&gt;"Feriado"),0,IF(AND(D7&lt;&gt;"",D8&lt;&gt;""),MOD(D8-D7,1),0)+IF(AND(D9&lt;&gt;"",D10&lt;&gt;""),MOD(D10-D9,1),0))</f>
        <v>0.25</v>
      </c>
      <c r="E12" s="29" t="n">
        <f aca="false">IF(AND(E11&lt;&gt;"",E11&lt;&gt;"Feriado"),0,IF(AND(E7&lt;&gt;"",E8&lt;&gt;""),MOD(E8-E7,1),0)+IF(AND(E9&lt;&gt;"",E10&lt;&gt;""),MOD(E10-E9,1),0))</f>
        <v>0.25</v>
      </c>
      <c r="F12" s="29" t="n">
        <f aca="false">IF(AND(F11&lt;&gt;"",F11&lt;&gt;"Feriado"),0,IF(AND(F7&lt;&gt;"",F8&lt;&gt;""),MOD(F8-F7,1),0)+IF(AND(F9&lt;&gt;"",F10&lt;&gt;""),MOD(F10-F9,1),0))</f>
        <v>0</v>
      </c>
      <c r="G12" s="29" t="n">
        <f aca="false">IF(AND(G11&lt;&gt;"",G11&lt;&gt;"Feriado"),0,IF(AND(G7&lt;&gt;"",G8&lt;&gt;""),MOD(G8-G7,1),0)+IF(AND(G9&lt;&gt;"",G10&lt;&gt;""),MOD(G10-G9,1),0))</f>
        <v>0.25</v>
      </c>
      <c r="H12" s="29" t="n">
        <f aca="false">IF(AND(H11&lt;&gt;"",H11&lt;&gt;"Feriado"),0,IF(AND(H7&lt;&gt;"",H8&lt;&gt;""),MOD(H8-H7,1),0)+IF(AND(H9&lt;&gt;"",H10&lt;&gt;""),MOD(H10-H9,1),0))</f>
        <v>0.25</v>
      </c>
      <c r="I12" s="29" t="n">
        <f aca="false">IF(AND(I11&lt;&gt;"",I11&lt;&gt;"Feriado"),0,IF(AND(I7&lt;&gt;"",I8&lt;&gt;""),MOD(I8-I7,1),0)+IF(AND(I9&lt;&gt;"",I10&lt;&gt;""),MOD(I10-I9,1),0))</f>
        <v>0.166666666666667</v>
      </c>
      <c r="J12" s="24"/>
      <c r="K12" s="24"/>
      <c r="L12" s="24"/>
      <c r="M12" s="24"/>
      <c r="N12" s="24"/>
      <c r="O12" s="24"/>
    </row>
    <row r="14" customFormat="false" ht="15" hidden="false" customHeight="false" outlineLevel="0" collapsed="false">
      <c r="A14" s="21" t="str">
        <f aca="false">IFERROR(INDEX(Equipo!$B$5:$B$14,2)&amp;"","")</f>
        <v>Lucas Ferreyra</v>
      </c>
      <c r="B14" s="22" t="s">
        <v>41</v>
      </c>
      <c r="C14" s="23"/>
      <c r="D14" s="23"/>
      <c r="E14" s="23"/>
      <c r="F14" s="23"/>
      <c r="G14" s="23"/>
      <c r="H14" s="23"/>
      <c r="I14" s="23"/>
      <c r="J14" s="24" t="str">
        <f aca="false">IF($Q14="Turnos","",SUM(C19:I19))</f>
        <v/>
      </c>
      <c r="K14" s="25" t="n">
        <f aca="false">SUMPRODUCT(((C14:I14&lt;&gt;"")+(C16:I16&lt;&gt;""))*((C18:I18="")+(C18:I18="Feriado")))</f>
        <v>6</v>
      </c>
      <c r="L14" s="25" t="n">
        <f aca="false">COUNTIF(C18:I18,"OFF")</f>
        <v>1</v>
      </c>
      <c r="M14" s="25" t="str">
        <f aca="false">IF($A14="","",IF($Q14="Horas",IF($S14=0,"–",TEXT($S14,"[h]:mm")&amp;" hs"),IF($T14=0,"–",$T14&amp;IF($T14=1," turno"," turnos"))))</f>
        <v>–</v>
      </c>
      <c r="N14" s="25" t="n">
        <f aca="false">COUNTIF(C18:I18,"Ausente")</f>
        <v>0</v>
      </c>
      <c r="O14" s="26" t="str">
        <f aca="false">IF($A14="","",IF($Q14="Horas",TEXT($U14,"[h]:mm")&amp;" hs",$V14&amp;IF($V14=1," turno"," turnos")))</f>
        <v>7 turnos</v>
      </c>
      <c r="Q14" s="0" t="str">
        <f aca="false">IFERROR(INDEX(Equipo!$D$5:$D$14,2)&amp;"","")</f>
        <v>Turnos</v>
      </c>
      <c r="R14" s="18" t="n">
        <f aca="false">N(INDEX(Equipo!$E$5:$E$14,2))</f>
        <v>1</v>
      </c>
      <c r="S14" s="18" t="n">
        <f aca="false">SUMPRODUCT(C19:I19*(C18:I18="Feriado"))</f>
        <v>0</v>
      </c>
      <c r="T14" s="18" t="n">
        <f aca="false">COUNTIFS(C18:I18,"Feriado",C14:I14,"&lt;&gt;")+COUNTIFS(C18:I18,"Feriado",C16:I16,"&lt;&gt;")</f>
        <v>0</v>
      </c>
      <c r="U14" s="18" t="n">
        <f aca="false">N(J14)+L14*R14+S14</f>
        <v>1</v>
      </c>
      <c r="V14" s="18" t="n">
        <f aca="false">K14+L14+T14</f>
        <v>7</v>
      </c>
    </row>
    <row r="15" customFormat="false" ht="15" hidden="false" customHeight="false" outlineLevel="0" collapsed="false">
      <c r="A15" s="22" t="str">
        <f aca="false">IF($A14="","",INDEX(Equipo!$C$5:$C$14,2)&amp;"")</f>
        <v>Encargado</v>
      </c>
      <c r="B15" s="22" t="s">
        <v>42</v>
      </c>
      <c r="C15" s="23"/>
      <c r="D15" s="23"/>
      <c r="E15" s="23"/>
      <c r="F15" s="23"/>
      <c r="G15" s="23"/>
      <c r="H15" s="23"/>
      <c r="I15" s="23"/>
      <c r="J15" s="24"/>
      <c r="K15" s="24"/>
      <c r="L15" s="24"/>
      <c r="M15" s="24"/>
      <c r="N15" s="24"/>
      <c r="O15" s="24"/>
    </row>
    <row r="16" customFormat="false" ht="15" hidden="false" customHeight="false" outlineLevel="0" collapsed="false">
      <c r="A16" s="22" t="str">
        <f aca="false">IF($A14="","","Cobra por "&amp;LOWER(INDEX(Equipo!$D$5:$D$14,2)))</f>
        <v>Cobra por turnos</v>
      </c>
      <c r="B16" s="22" t="s">
        <v>43</v>
      </c>
      <c r="C16" s="23"/>
      <c r="D16" s="23" t="n">
        <v>0.75</v>
      </c>
      <c r="E16" s="23" t="n">
        <v>0.75</v>
      </c>
      <c r="F16" s="23" t="n">
        <v>0.75</v>
      </c>
      <c r="G16" s="23" t="n">
        <v>0.75</v>
      </c>
      <c r="H16" s="23" t="n">
        <v>0.75</v>
      </c>
      <c r="I16" s="23" t="n">
        <v>0.75</v>
      </c>
      <c r="J16" s="24"/>
      <c r="K16" s="24"/>
      <c r="L16" s="24"/>
      <c r="M16" s="24"/>
      <c r="N16" s="24"/>
      <c r="O16" s="24"/>
    </row>
    <row r="17" customFormat="false" ht="15" hidden="false" customHeight="false" outlineLevel="0" collapsed="false">
      <c r="B17" s="22" t="s">
        <v>44</v>
      </c>
      <c r="C17" s="23"/>
      <c r="D17" s="23" t="n">
        <v>0.979166666666667</v>
      </c>
      <c r="E17" s="23" t="n">
        <v>0.979166666666667</v>
      </c>
      <c r="F17" s="23" t="n">
        <v>0.979166666666667</v>
      </c>
      <c r="G17" s="23" t="n">
        <v>0.0208333333333333</v>
      </c>
      <c r="H17" s="23" t="n">
        <v>0.0416666666666667</v>
      </c>
      <c r="I17" s="23" t="n">
        <v>0.958333333333333</v>
      </c>
      <c r="J17" s="24"/>
      <c r="K17" s="24"/>
      <c r="L17" s="24"/>
      <c r="M17" s="24"/>
      <c r="N17" s="24"/>
      <c r="O17" s="24"/>
    </row>
    <row r="18" customFormat="false" ht="15" hidden="false" customHeight="false" outlineLevel="0" collapsed="false">
      <c r="B18" s="22" t="s">
        <v>45</v>
      </c>
      <c r="C18" s="27" t="s">
        <v>46</v>
      </c>
      <c r="D18" s="27"/>
      <c r="E18" s="27"/>
      <c r="F18" s="27"/>
      <c r="G18" s="27"/>
      <c r="H18" s="27"/>
      <c r="I18" s="27"/>
      <c r="J18" s="24"/>
      <c r="K18" s="24"/>
      <c r="L18" s="24"/>
      <c r="M18" s="24"/>
      <c r="N18" s="24"/>
      <c r="O18" s="24"/>
    </row>
    <row r="19" customFormat="false" ht="15" hidden="false" customHeight="false" outlineLevel="0" collapsed="false">
      <c r="B19" s="28" t="s">
        <v>47</v>
      </c>
      <c r="C19" s="29" t="n">
        <f aca="false">IF(AND(C18&lt;&gt;"",C18&lt;&gt;"Feriado"),0,IF(AND(C14&lt;&gt;"",C15&lt;&gt;""),MOD(C15-C14,1),0)+IF(AND(C16&lt;&gt;"",C17&lt;&gt;""),MOD(C17-C16,1),0))</f>
        <v>0</v>
      </c>
      <c r="D19" s="29" t="n">
        <f aca="false">IF(AND(D18&lt;&gt;"",D18&lt;&gt;"Feriado"),0,IF(AND(D14&lt;&gt;"",D15&lt;&gt;""),MOD(D15-D14,1),0)+IF(AND(D16&lt;&gt;"",D17&lt;&gt;""),MOD(D17-D16,1),0))</f>
        <v>0.229166666666667</v>
      </c>
      <c r="E19" s="29" t="n">
        <f aca="false">IF(AND(E18&lt;&gt;"",E18&lt;&gt;"Feriado"),0,IF(AND(E14&lt;&gt;"",E15&lt;&gt;""),MOD(E15-E14,1),0)+IF(AND(E16&lt;&gt;"",E17&lt;&gt;""),MOD(E17-E16,1),0))</f>
        <v>0.229166666666667</v>
      </c>
      <c r="F19" s="29" t="n">
        <f aca="false">IF(AND(F18&lt;&gt;"",F18&lt;&gt;"Feriado"),0,IF(AND(F14&lt;&gt;"",F15&lt;&gt;""),MOD(F15-F14,1),0)+IF(AND(F16&lt;&gt;"",F17&lt;&gt;""),MOD(F17-F16,1),0))</f>
        <v>0.229166666666667</v>
      </c>
      <c r="G19" s="29" t="n">
        <f aca="false">IF(AND(G18&lt;&gt;"",G18&lt;&gt;"Feriado"),0,IF(AND(G14&lt;&gt;"",G15&lt;&gt;""),MOD(G15-G14,1),0)+IF(AND(G16&lt;&gt;"",G17&lt;&gt;""),MOD(G17-G16,1),0))</f>
        <v>0.270833333333333</v>
      </c>
      <c r="H19" s="29" t="n">
        <f aca="false">IF(AND(H18&lt;&gt;"",H18&lt;&gt;"Feriado"),0,IF(AND(H14&lt;&gt;"",H15&lt;&gt;""),MOD(H15-H14,1),0)+IF(AND(H16&lt;&gt;"",H17&lt;&gt;""),MOD(H17-H16,1),0))</f>
        <v>0.291666666666667</v>
      </c>
      <c r="I19" s="29" t="n">
        <f aca="false">IF(AND(I18&lt;&gt;"",I18&lt;&gt;"Feriado"),0,IF(AND(I14&lt;&gt;"",I15&lt;&gt;""),MOD(I15-I14,1),0)+IF(AND(I16&lt;&gt;"",I17&lt;&gt;""),MOD(I17-I16,1),0))</f>
        <v>0.208333333333333</v>
      </c>
      <c r="J19" s="24"/>
      <c r="K19" s="24"/>
      <c r="L19" s="24"/>
      <c r="M19" s="24"/>
      <c r="N19" s="24"/>
      <c r="O19" s="24"/>
    </row>
    <row r="21" customFormat="false" ht="15" hidden="false" customHeight="false" outlineLevel="0" collapsed="false">
      <c r="A21" s="21" t="str">
        <f aca="false">IFERROR(INDEX(Equipo!$B$5:$B$14,3)&amp;"","")</f>
        <v>Brenda Quiroga</v>
      </c>
      <c r="B21" s="22" t="s">
        <v>41</v>
      </c>
      <c r="C21" s="23" t="n">
        <v>0.416666666666667</v>
      </c>
      <c r="D21" s="23" t="n">
        <v>0.416666666666667</v>
      </c>
      <c r="E21" s="23"/>
      <c r="F21" s="23" t="n">
        <v>0.416666666666667</v>
      </c>
      <c r="G21" s="23" t="n">
        <v>0.416666666666667</v>
      </c>
      <c r="H21" s="23" t="n">
        <v>0.416666666666667</v>
      </c>
      <c r="I21" s="23"/>
      <c r="J21" s="24" t="str">
        <f aca="false">IF($Q21="Turnos","",SUM(C26:I26))</f>
        <v/>
      </c>
      <c r="K21" s="25" t="n">
        <f aca="false">SUMPRODUCT(((C21:I21&lt;&gt;"")+(C23:I23&lt;&gt;""))*((C25:I25="")+(C25:I25="Feriado")))</f>
        <v>9</v>
      </c>
      <c r="L21" s="25" t="n">
        <f aca="false">COUNTIF(C25:I25,"OFF")</f>
        <v>1</v>
      </c>
      <c r="M21" s="25" t="str">
        <f aca="false">IF($A21="","",IF($Q21="Horas",IF($S21=0,"–",TEXT($S21,"[h]:mm")&amp;" hs"),IF($T21=0,"–",$T21&amp;IF($T21=1," turno"," turnos"))))</f>
        <v>2 turnos</v>
      </c>
      <c r="N21" s="25" t="n">
        <f aca="false">COUNTIF(C25:I25,"Ausente")</f>
        <v>0</v>
      </c>
      <c r="O21" s="26" t="str">
        <f aca="false">IF($A21="","",IF($Q21="Horas",TEXT($U21,"[h]:mm")&amp;" hs",$V21&amp;IF($V21=1," turno"," turnos")))</f>
        <v>12 turnos</v>
      </c>
      <c r="Q21" s="0" t="str">
        <f aca="false">IFERROR(INDEX(Equipo!$D$5:$D$14,3)&amp;"","")</f>
        <v>Turnos</v>
      </c>
      <c r="R21" s="18" t="n">
        <f aca="false">N(INDEX(Equipo!$E$5:$E$14,3))</f>
        <v>1</v>
      </c>
      <c r="S21" s="18" t="n">
        <f aca="false">SUMPRODUCT(C26:I26*(C25:I25="Feriado"))</f>
        <v>0.354166666666667</v>
      </c>
      <c r="T21" s="18" t="n">
        <f aca="false">COUNTIFS(C25:I25,"Feriado",C21:I21,"&lt;&gt;")+COUNTIFS(C25:I25,"Feriado",C23:I23,"&lt;&gt;")</f>
        <v>2</v>
      </c>
      <c r="U21" s="18" t="n">
        <f aca="false">N(J21)+L21*R21+S21</f>
        <v>1.35416666666667</v>
      </c>
      <c r="V21" s="18" t="n">
        <f aca="false">K21+L21+T21</f>
        <v>12</v>
      </c>
    </row>
    <row r="22" customFormat="false" ht="15" hidden="false" customHeight="false" outlineLevel="0" collapsed="false">
      <c r="A22" s="22" t="str">
        <f aca="false">IF($A21="","",INDEX(Equipo!$C$5:$C$14,3)&amp;"")</f>
        <v>Encargada</v>
      </c>
      <c r="B22" s="22" t="s">
        <v>42</v>
      </c>
      <c r="C22" s="23" t="n">
        <v>0.583333333333333</v>
      </c>
      <c r="D22" s="23" t="n">
        <v>0.583333333333333</v>
      </c>
      <c r="E22" s="23"/>
      <c r="F22" s="23" t="n">
        <v>0.583333333333333</v>
      </c>
      <c r="G22" s="23" t="n">
        <v>0.583333333333333</v>
      </c>
      <c r="H22" s="23" t="n">
        <v>0.583333333333333</v>
      </c>
      <c r="I22" s="23"/>
      <c r="J22" s="24"/>
      <c r="K22" s="24"/>
      <c r="L22" s="24"/>
      <c r="M22" s="24"/>
      <c r="N22" s="24"/>
      <c r="O22" s="24"/>
    </row>
    <row r="23" customFormat="false" ht="15" hidden="false" customHeight="false" outlineLevel="0" collapsed="false">
      <c r="A23" s="22" t="str">
        <f aca="false">IF($A21="","","Cobra por "&amp;LOWER(INDEX(Equipo!$D$5:$D$14,3)))</f>
        <v>Cobra por turnos</v>
      </c>
      <c r="B23" s="22" t="s">
        <v>43</v>
      </c>
      <c r="C23" s="23" t="n">
        <v>0.791666666666667</v>
      </c>
      <c r="D23" s="23"/>
      <c r="E23" s="23"/>
      <c r="F23" s="23" t="n">
        <v>0.791666666666667</v>
      </c>
      <c r="G23" s="23"/>
      <c r="H23" s="23" t="n">
        <v>0.791666666666667</v>
      </c>
      <c r="I23" s="23" t="n">
        <v>0.791666666666667</v>
      </c>
      <c r="J23" s="24"/>
      <c r="K23" s="24"/>
      <c r="L23" s="24"/>
      <c r="M23" s="24"/>
      <c r="N23" s="24"/>
      <c r="O23" s="24"/>
    </row>
    <row r="24" customFormat="false" ht="15" hidden="false" customHeight="false" outlineLevel="0" collapsed="false">
      <c r="B24" s="22" t="s">
        <v>44</v>
      </c>
      <c r="C24" s="23" t="n">
        <v>0.979166666666667</v>
      </c>
      <c r="D24" s="23"/>
      <c r="E24" s="23"/>
      <c r="F24" s="23" t="n">
        <v>0.979166666666667</v>
      </c>
      <c r="G24" s="23"/>
      <c r="H24" s="23" t="n">
        <v>0.0208333333333333</v>
      </c>
      <c r="I24" s="23" t="n">
        <v>0.979166666666667</v>
      </c>
      <c r="J24" s="24"/>
      <c r="K24" s="24"/>
      <c r="L24" s="24"/>
      <c r="M24" s="24"/>
      <c r="N24" s="24"/>
      <c r="O24" s="24"/>
    </row>
    <row r="25" customFormat="false" ht="15" hidden="false" customHeight="false" outlineLevel="0" collapsed="false">
      <c r="B25" s="22" t="s">
        <v>45</v>
      </c>
      <c r="C25" s="27" t="s">
        <v>32</v>
      </c>
      <c r="D25" s="27"/>
      <c r="E25" s="27" t="s">
        <v>46</v>
      </c>
      <c r="F25" s="27"/>
      <c r="G25" s="27"/>
      <c r="H25" s="27"/>
      <c r="I25" s="27"/>
      <c r="J25" s="24"/>
      <c r="K25" s="24"/>
      <c r="L25" s="24"/>
      <c r="M25" s="24"/>
      <c r="N25" s="24"/>
      <c r="O25" s="24"/>
    </row>
    <row r="26" customFormat="false" ht="15" hidden="false" customHeight="false" outlineLevel="0" collapsed="false">
      <c r="B26" s="28" t="s">
        <v>47</v>
      </c>
      <c r="C26" s="29" t="n">
        <f aca="false">IF(AND(C25&lt;&gt;"",C25&lt;&gt;"Feriado"),0,IF(AND(C21&lt;&gt;"",C22&lt;&gt;""),MOD(C22-C21,1),0)+IF(AND(C23&lt;&gt;"",C24&lt;&gt;""),MOD(C24-C23,1),0))</f>
        <v>0.354166666666667</v>
      </c>
      <c r="D26" s="29" t="n">
        <f aca="false">IF(AND(D25&lt;&gt;"",D25&lt;&gt;"Feriado"),0,IF(AND(D21&lt;&gt;"",D22&lt;&gt;""),MOD(D22-D21,1),0)+IF(AND(D23&lt;&gt;"",D24&lt;&gt;""),MOD(D24-D23,1),0))</f>
        <v>0.166666666666667</v>
      </c>
      <c r="E26" s="29" t="n">
        <f aca="false">IF(AND(E25&lt;&gt;"",E25&lt;&gt;"Feriado"),0,IF(AND(E21&lt;&gt;"",E22&lt;&gt;""),MOD(E22-E21,1),0)+IF(AND(E23&lt;&gt;"",E24&lt;&gt;""),MOD(E24-E23,1),0))</f>
        <v>0</v>
      </c>
      <c r="F26" s="29" t="n">
        <f aca="false">IF(AND(F25&lt;&gt;"",F25&lt;&gt;"Feriado"),0,IF(AND(F21&lt;&gt;"",F22&lt;&gt;""),MOD(F22-F21,1),0)+IF(AND(F23&lt;&gt;"",F24&lt;&gt;""),MOD(F24-F23,1),0))</f>
        <v>0.354166666666667</v>
      </c>
      <c r="G26" s="29" t="n">
        <f aca="false">IF(AND(G25&lt;&gt;"",G25&lt;&gt;"Feriado"),0,IF(AND(G21&lt;&gt;"",G22&lt;&gt;""),MOD(G22-G21,1),0)+IF(AND(G23&lt;&gt;"",G24&lt;&gt;""),MOD(G24-G23,1),0))</f>
        <v>0.166666666666667</v>
      </c>
      <c r="H26" s="29" t="n">
        <f aca="false">IF(AND(H25&lt;&gt;"",H25&lt;&gt;"Feriado"),0,IF(AND(H21&lt;&gt;"",H22&lt;&gt;""),MOD(H22-H21,1),0)+IF(AND(H23&lt;&gt;"",H24&lt;&gt;""),MOD(H24-H23,1),0))</f>
        <v>0.395833333333333</v>
      </c>
      <c r="I26" s="29" t="n">
        <f aca="false">IF(AND(I25&lt;&gt;"",I25&lt;&gt;"Feriado"),0,IF(AND(I21&lt;&gt;"",I22&lt;&gt;""),MOD(I22-I21,1),0)+IF(AND(I23&lt;&gt;"",I24&lt;&gt;""),MOD(I24-I23,1),0))</f>
        <v>0.1875</v>
      </c>
      <c r="J26" s="24"/>
      <c r="K26" s="24"/>
      <c r="L26" s="24"/>
      <c r="M26" s="24"/>
      <c r="N26" s="24"/>
      <c r="O26" s="24"/>
    </row>
    <row r="28" customFormat="false" ht="15" hidden="false" customHeight="false" outlineLevel="0" collapsed="false">
      <c r="A28" s="21" t="str">
        <f aca="false">IFERROR(INDEX(Equipo!$B$5:$B$14,4)&amp;"","")</f>
        <v>Nicolás Paz</v>
      </c>
      <c r="B28" s="22" t="s">
        <v>41</v>
      </c>
      <c r="C28" s="23" t="n">
        <v>0.416666666666667</v>
      </c>
      <c r="D28" s="23" t="n">
        <v>0.416666666666667</v>
      </c>
      <c r="E28" s="23" t="n">
        <v>0.416666666666667</v>
      </c>
      <c r="F28" s="23" t="n">
        <v>0.416666666666667</v>
      </c>
      <c r="G28" s="23"/>
      <c r="H28" s="23" t="n">
        <v>0.416666666666667</v>
      </c>
      <c r="I28" s="23" t="n">
        <v>0.416666666666667</v>
      </c>
      <c r="J28" s="24" t="n">
        <f aca="false">IF($Q28="Turnos","",SUM(C33:I33))</f>
        <v>1.375</v>
      </c>
      <c r="K28" s="25" t="n">
        <f aca="false">SUMPRODUCT(((C28:I28&lt;&gt;"")+(C30:I30&lt;&gt;""))*((C32:I32="")+(C32:I32="Feriado")))</f>
        <v>7</v>
      </c>
      <c r="L28" s="25" t="n">
        <f aca="false">COUNTIF(C32:I32,"OFF")</f>
        <v>1</v>
      </c>
      <c r="M28" s="25" t="str">
        <f aca="false">IF($A28="","",IF($Q28="Horas",IF($S28=0,"–",TEXT($S28,"[h]:mm")&amp;" hs"),IF($T28=0,"–",$T28&amp;IF($T28=1," turno"," turnos"))))</f>
        <v>5:00 hs</v>
      </c>
      <c r="N28" s="25" t="n">
        <f aca="false">COUNTIF(C32:I32,"Ausente")</f>
        <v>0</v>
      </c>
      <c r="O28" s="26" t="str">
        <f aca="false">IF($A28="","",IF($Q28="Horas",TEXT($U28,"[h]:mm")&amp;" hs",$V28&amp;IF($V28=1," turno"," turnos")))</f>
        <v>42:30 hs</v>
      </c>
      <c r="Q28" s="0" t="str">
        <f aca="false">IFERROR(INDEX(Equipo!$D$5:$D$14,4)&amp;"","")</f>
        <v>Horas</v>
      </c>
      <c r="R28" s="18" t="n">
        <f aca="false">N(INDEX(Equipo!$E$5:$E$14,4))</f>
        <v>0.1875</v>
      </c>
      <c r="S28" s="18" t="n">
        <f aca="false">SUMPRODUCT(C33:I33*(C32:I32="Feriado"))</f>
        <v>0.208333333333333</v>
      </c>
      <c r="T28" s="18" t="n">
        <f aca="false">COUNTIFS(C32:I32,"Feriado",C28:I28,"&lt;&gt;")+COUNTIFS(C32:I32,"Feriado",C30:I30,"&lt;&gt;")</f>
        <v>1</v>
      </c>
      <c r="U28" s="18" t="n">
        <f aca="false">N(J28)+L28*R28+S28</f>
        <v>1.77083333333333</v>
      </c>
      <c r="V28" s="18" t="n">
        <f aca="false">K28+L28+T28</f>
        <v>9</v>
      </c>
    </row>
    <row r="29" customFormat="false" ht="15" hidden="false" customHeight="false" outlineLevel="0" collapsed="false">
      <c r="A29" s="22" t="str">
        <f aca="false">IF($A28="","",INDEX(Equipo!$C$5:$C$14,4)&amp;"")</f>
        <v>Staff</v>
      </c>
      <c r="B29" s="22" t="s">
        <v>42</v>
      </c>
      <c r="C29" s="23" t="n">
        <v>0.625</v>
      </c>
      <c r="D29" s="23" t="n">
        <v>0.625</v>
      </c>
      <c r="E29" s="23" t="n">
        <v>0.625</v>
      </c>
      <c r="F29" s="23" t="n">
        <v>0.625</v>
      </c>
      <c r="G29" s="23"/>
      <c r="H29" s="23" t="n">
        <v>0.625</v>
      </c>
      <c r="I29" s="23" t="n">
        <v>0.583333333333333</v>
      </c>
      <c r="J29" s="24"/>
      <c r="K29" s="24"/>
      <c r="L29" s="24"/>
      <c r="M29" s="24"/>
      <c r="N29" s="24"/>
      <c r="O29" s="24"/>
    </row>
    <row r="30" customFormat="false" ht="15" hidden="false" customHeight="false" outlineLevel="0" collapsed="false">
      <c r="A30" s="22" t="str">
        <f aca="false">IF($A28="","","Cobra por "&amp;LOWER(INDEX(Equipo!$D$5:$D$14,4)))</f>
        <v>Cobra por horas</v>
      </c>
      <c r="B30" s="22" t="s">
        <v>43</v>
      </c>
      <c r="C30" s="23"/>
      <c r="D30" s="23"/>
      <c r="E30" s="23"/>
      <c r="F30" s="23"/>
      <c r="G30" s="23"/>
      <c r="H30" s="23" t="n">
        <v>0.791666666666667</v>
      </c>
      <c r="I30" s="23"/>
      <c r="J30" s="24"/>
      <c r="K30" s="24"/>
      <c r="L30" s="24"/>
      <c r="M30" s="24"/>
      <c r="N30" s="24"/>
      <c r="O30" s="24"/>
    </row>
    <row r="31" customFormat="false" ht="15" hidden="false" customHeight="false" outlineLevel="0" collapsed="false">
      <c r="B31" s="22" t="s">
        <v>44</v>
      </c>
      <c r="C31" s="23"/>
      <c r="D31" s="23"/>
      <c r="E31" s="23"/>
      <c r="F31" s="23"/>
      <c r="G31" s="23"/>
      <c r="H31" s="23" t="n">
        <v>0.958333333333333</v>
      </c>
      <c r="I31" s="23"/>
      <c r="J31" s="24"/>
      <c r="K31" s="24"/>
      <c r="L31" s="24"/>
      <c r="M31" s="24"/>
      <c r="N31" s="24"/>
      <c r="O31" s="24"/>
    </row>
    <row r="32" customFormat="false" ht="15" hidden="false" customHeight="false" outlineLevel="0" collapsed="false">
      <c r="B32" s="22" t="s">
        <v>45</v>
      </c>
      <c r="C32" s="27" t="s">
        <v>32</v>
      </c>
      <c r="D32" s="27"/>
      <c r="E32" s="27"/>
      <c r="F32" s="27"/>
      <c r="G32" s="27" t="s">
        <v>46</v>
      </c>
      <c r="H32" s="27"/>
      <c r="I32" s="27"/>
      <c r="J32" s="24"/>
      <c r="K32" s="24"/>
      <c r="L32" s="24"/>
      <c r="M32" s="24"/>
      <c r="N32" s="24"/>
      <c r="O32" s="24"/>
    </row>
    <row r="33" customFormat="false" ht="15" hidden="false" customHeight="false" outlineLevel="0" collapsed="false">
      <c r="B33" s="28" t="s">
        <v>47</v>
      </c>
      <c r="C33" s="29" t="n">
        <f aca="false">IF(AND(C32&lt;&gt;"",C32&lt;&gt;"Feriado"),0,IF(AND(C28&lt;&gt;"",C29&lt;&gt;""),MOD(C29-C28,1),0)+IF(AND(C30&lt;&gt;"",C31&lt;&gt;""),MOD(C31-C30,1),0))</f>
        <v>0.208333333333333</v>
      </c>
      <c r="D33" s="29" t="n">
        <f aca="false">IF(AND(D32&lt;&gt;"",D32&lt;&gt;"Feriado"),0,IF(AND(D28&lt;&gt;"",D29&lt;&gt;""),MOD(D29-D28,1),0)+IF(AND(D30&lt;&gt;"",D31&lt;&gt;""),MOD(D31-D30,1),0))</f>
        <v>0.208333333333333</v>
      </c>
      <c r="E33" s="29" t="n">
        <f aca="false">IF(AND(E32&lt;&gt;"",E32&lt;&gt;"Feriado"),0,IF(AND(E28&lt;&gt;"",E29&lt;&gt;""),MOD(E29-E28,1),0)+IF(AND(E30&lt;&gt;"",E31&lt;&gt;""),MOD(E31-E30,1),0))</f>
        <v>0.208333333333333</v>
      </c>
      <c r="F33" s="29" t="n">
        <f aca="false">IF(AND(F32&lt;&gt;"",F32&lt;&gt;"Feriado"),0,IF(AND(F28&lt;&gt;"",F29&lt;&gt;""),MOD(F29-F28,1),0)+IF(AND(F30&lt;&gt;"",F31&lt;&gt;""),MOD(F31-F30,1),0))</f>
        <v>0.208333333333333</v>
      </c>
      <c r="G33" s="29" t="n">
        <f aca="false">IF(AND(G32&lt;&gt;"",G32&lt;&gt;"Feriado"),0,IF(AND(G28&lt;&gt;"",G29&lt;&gt;""),MOD(G29-G28,1),0)+IF(AND(G30&lt;&gt;"",G31&lt;&gt;""),MOD(G31-G30,1),0))</f>
        <v>0</v>
      </c>
      <c r="H33" s="29" t="n">
        <f aca="false">IF(AND(H32&lt;&gt;"",H32&lt;&gt;"Feriado"),0,IF(AND(H28&lt;&gt;"",H29&lt;&gt;""),MOD(H29-H28,1),0)+IF(AND(H30&lt;&gt;"",H31&lt;&gt;""),MOD(H31-H30,1),0))</f>
        <v>0.375</v>
      </c>
      <c r="I33" s="29" t="n">
        <f aca="false">IF(AND(I32&lt;&gt;"",I32&lt;&gt;"Feriado"),0,IF(AND(I28&lt;&gt;"",I29&lt;&gt;""),MOD(I29-I28,1),0)+IF(AND(I30&lt;&gt;"",I31&lt;&gt;""),MOD(I31-I30,1),0))</f>
        <v>0.166666666666667</v>
      </c>
      <c r="J33" s="24"/>
      <c r="K33" s="24"/>
      <c r="L33" s="24"/>
      <c r="M33" s="24"/>
      <c r="N33" s="24"/>
      <c r="O33" s="24"/>
    </row>
    <row r="35" customFormat="false" ht="15" hidden="false" customHeight="false" outlineLevel="0" collapsed="false">
      <c r="A35" s="21" t="str">
        <f aca="false">IFERROR(INDEX(Equipo!$B$5:$B$14,5)&amp;"","")</f>
        <v>Paula Medina</v>
      </c>
      <c r="B35" s="22" t="s">
        <v>41</v>
      </c>
      <c r="C35" s="23"/>
      <c r="D35" s="23" t="n">
        <v>0.354166666666667</v>
      </c>
      <c r="E35" s="23" t="n">
        <v>0.354166666666667</v>
      </c>
      <c r="F35" s="23"/>
      <c r="G35" s="23" t="n">
        <v>0.354166666666667</v>
      </c>
      <c r="H35" s="23" t="n">
        <v>0.354166666666667</v>
      </c>
      <c r="I35" s="23"/>
      <c r="J35" s="24" t="n">
        <f aca="false">IF($Q35="Turnos","",SUM(C40:I40))</f>
        <v>0.854166666666667</v>
      </c>
      <c r="K35" s="25" t="n">
        <f aca="false">SUMPRODUCT(((C35:I35&lt;&gt;"")+(C37:I37&lt;&gt;""))*((C39:I39="")+(C39:I39="Feriado")))</f>
        <v>4</v>
      </c>
      <c r="L35" s="25" t="n">
        <f aca="false">COUNTIF(C39:I39,"OFF")</f>
        <v>1</v>
      </c>
      <c r="M35" s="25" t="str">
        <f aca="false">IF($A35="","",IF($Q35="Horas",IF($S35=0,"–",TEXT($S35,"[h]:mm")&amp;" hs"),IF($T35=0,"–",$T35&amp;IF($T35=1," turno"," turnos"))))</f>
        <v>–</v>
      </c>
      <c r="N35" s="25" t="n">
        <f aca="false">COUNTIF(C39:I39,"Ausente")</f>
        <v>0</v>
      </c>
      <c r="O35" s="26" t="str">
        <f aca="false">IF($A35="","",IF($Q35="Horas",TEXT($U35,"[h]:mm")&amp;" hs",$V35&amp;IF($V35=1," turno"," turnos")))</f>
        <v>25:00 hs</v>
      </c>
      <c r="Q35" s="0" t="str">
        <f aca="false">IFERROR(INDEX(Equipo!$D$5:$D$14,5)&amp;"","")</f>
        <v>Horas</v>
      </c>
      <c r="R35" s="18" t="n">
        <f aca="false">N(INDEX(Equipo!$E$5:$E$14,5))</f>
        <v>0.1875</v>
      </c>
      <c r="S35" s="18" t="n">
        <f aca="false">SUMPRODUCT(C40:I40*(C39:I39="Feriado"))</f>
        <v>0</v>
      </c>
      <c r="T35" s="18" t="n">
        <f aca="false">COUNTIFS(C39:I39,"Feriado",C35:I35,"&lt;&gt;")+COUNTIFS(C39:I39,"Feriado",C37:I37,"&lt;&gt;")</f>
        <v>0</v>
      </c>
      <c r="U35" s="18" t="n">
        <f aca="false">N(J35)+L35*R35+S35</f>
        <v>1.04166666666667</v>
      </c>
      <c r="V35" s="18" t="n">
        <f aca="false">K35+L35+T35</f>
        <v>5</v>
      </c>
    </row>
    <row r="36" customFormat="false" ht="15" hidden="false" customHeight="false" outlineLevel="0" collapsed="false">
      <c r="A36" s="22" t="str">
        <f aca="false">IF($A35="","",INDEX(Equipo!$C$5:$C$14,5)&amp;"")</f>
        <v>Staff</v>
      </c>
      <c r="B36" s="22" t="s">
        <v>42</v>
      </c>
      <c r="C36" s="23"/>
      <c r="D36" s="23" t="n">
        <v>0.5625</v>
      </c>
      <c r="E36" s="23" t="n">
        <v>0.5625</v>
      </c>
      <c r="F36" s="23"/>
      <c r="G36" s="23" t="n">
        <v>0.5625</v>
      </c>
      <c r="H36" s="23" t="n">
        <v>0.583333333333333</v>
      </c>
      <c r="I36" s="23"/>
      <c r="J36" s="24"/>
      <c r="K36" s="24"/>
      <c r="L36" s="24"/>
      <c r="M36" s="24"/>
      <c r="N36" s="24"/>
      <c r="O36" s="24"/>
    </row>
    <row r="37" customFormat="false" ht="15" hidden="false" customHeight="false" outlineLevel="0" collapsed="false">
      <c r="A37" s="22" t="str">
        <f aca="false">IF($A35="","","Cobra por "&amp;LOWER(INDEX(Equipo!$D$5:$D$14,5)))</f>
        <v>Cobra por horas</v>
      </c>
      <c r="B37" s="22" t="s">
        <v>43</v>
      </c>
      <c r="C37" s="23"/>
      <c r="D37" s="23"/>
      <c r="E37" s="23"/>
      <c r="F37" s="23"/>
      <c r="G37" s="23"/>
      <c r="H37" s="23"/>
      <c r="I37" s="23"/>
      <c r="J37" s="24"/>
      <c r="K37" s="24"/>
      <c r="L37" s="24"/>
      <c r="M37" s="24"/>
      <c r="N37" s="24"/>
      <c r="O37" s="24"/>
    </row>
    <row r="38" customFormat="false" ht="15" hidden="false" customHeight="false" outlineLevel="0" collapsed="false">
      <c r="B38" s="22" t="s">
        <v>44</v>
      </c>
      <c r="C38" s="23"/>
      <c r="D38" s="23"/>
      <c r="E38" s="23"/>
      <c r="F38" s="23"/>
      <c r="G38" s="23"/>
      <c r="H38" s="23"/>
      <c r="I38" s="23"/>
      <c r="J38" s="24"/>
      <c r="K38" s="24"/>
      <c r="L38" s="24"/>
      <c r="M38" s="24"/>
      <c r="N38" s="24"/>
      <c r="O38" s="24"/>
    </row>
    <row r="39" customFormat="false" ht="15" hidden="false" customHeight="false" outlineLevel="0" collapsed="false">
      <c r="B39" s="22" t="s">
        <v>45</v>
      </c>
      <c r="C39" s="27" t="s">
        <v>46</v>
      </c>
      <c r="D39" s="27"/>
      <c r="E39" s="27"/>
      <c r="F39" s="27" t="s">
        <v>48</v>
      </c>
      <c r="G39" s="27"/>
      <c r="H39" s="27"/>
      <c r="I39" s="27"/>
      <c r="J39" s="24"/>
      <c r="K39" s="24"/>
      <c r="L39" s="24"/>
      <c r="M39" s="24"/>
      <c r="N39" s="24"/>
      <c r="O39" s="24"/>
    </row>
    <row r="40" customFormat="false" ht="15" hidden="false" customHeight="false" outlineLevel="0" collapsed="false">
      <c r="B40" s="28" t="s">
        <v>47</v>
      </c>
      <c r="C40" s="29" t="n">
        <f aca="false">IF(AND(C39&lt;&gt;"",C39&lt;&gt;"Feriado"),0,IF(AND(C35&lt;&gt;"",C36&lt;&gt;""),MOD(C36-C35,1),0)+IF(AND(C37&lt;&gt;"",C38&lt;&gt;""),MOD(C38-C37,1),0))</f>
        <v>0</v>
      </c>
      <c r="D40" s="29" t="n">
        <f aca="false">IF(AND(D39&lt;&gt;"",D39&lt;&gt;"Feriado"),0,IF(AND(D35&lt;&gt;"",D36&lt;&gt;""),MOD(D36-D35,1),0)+IF(AND(D37&lt;&gt;"",D38&lt;&gt;""),MOD(D38-D37,1),0))</f>
        <v>0.208333333333333</v>
      </c>
      <c r="E40" s="29" t="n">
        <f aca="false">IF(AND(E39&lt;&gt;"",E39&lt;&gt;"Feriado"),0,IF(AND(E35&lt;&gt;"",E36&lt;&gt;""),MOD(E36-E35,1),0)+IF(AND(E37&lt;&gt;"",E38&lt;&gt;""),MOD(E38-E37,1),0))</f>
        <v>0.208333333333333</v>
      </c>
      <c r="F40" s="29" t="n">
        <f aca="false">IF(AND(F39&lt;&gt;"",F39&lt;&gt;"Feriado"),0,IF(AND(F35&lt;&gt;"",F36&lt;&gt;""),MOD(F36-F35,1),0)+IF(AND(F37&lt;&gt;"",F38&lt;&gt;""),MOD(F38-F37,1),0))</f>
        <v>0</v>
      </c>
      <c r="G40" s="29" t="n">
        <f aca="false">IF(AND(G39&lt;&gt;"",G39&lt;&gt;"Feriado"),0,IF(AND(G35&lt;&gt;"",G36&lt;&gt;""),MOD(G36-G35,1),0)+IF(AND(G37&lt;&gt;"",G38&lt;&gt;""),MOD(G38-G37,1),0))</f>
        <v>0.208333333333333</v>
      </c>
      <c r="H40" s="29" t="n">
        <f aca="false">IF(AND(H39&lt;&gt;"",H39&lt;&gt;"Feriado"),0,IF(AND(H35&lt;&gt;"",H36&lt;&gt;""),MOD(H36-H35,1),0)+IF(AND(H37&lt;&gt;"",H38&lt;&gt;""),MOD(H38-H37,1),0))</f>
        <v>0.229166666666667</v>
      </c>
      <c r="I40" s="29" t="n">
        <f aca="false">IF(AND(I39&lt;&gt;"",I39&lt;&gt;"Feriado"),0,IF(AND(I35&lt;&gt;"",I36&lt;&gt;""),MOD(I36-I35,1),0)+IF(AND(I37&lt;&gt;"",I38&lt;&gt;""),MOD(I38-I37,1),0))</f>
        <v>0</v>
      </c>
      <c r="J40" s="24"/>
      <c r="K40" s="24"/>
      <c r="L40" s="24"/>
      <c r="M40" s="24"/>
      <c r="N40" s="24"/>
      <c r="O40" s="24"/>
    </row>
    <row r="42" customFormat="false" ht="15" hidden="false" customHeight="false" outlineLevel="0" collapsed="false">
      <c r="A42" s="21" t="str">
        <f aca="false">IFERROR(INDEX(Equipo!$B$5:$B$14,6)&amp;"","")</f>
        <v>Tomás Godoy</v>
      </c>
      <c r="B42" s="22" t="s">
        <v>41</v>
      </c>
      <c r="C42" s="23" t="n">
        <v>0.583333333333333</v>
      </c>
      <c r="D42" s="23" t="n">
        <v>0.583333333333333</v>
      </c>
      <c r="E42" s="23" t="n">
        <v>0.583333333333333</v>
      </c>
      <c r="F42" s="23"/>
      <c r="G42" s="23" t="n">
        <v>0.583333333333333</v>
      </c>
      <c r="H42" s="23"/>
      <c r="I42" s="23" t="n">
        <v>0.583333333333333</v>
      </c>
      <c r="J42" s="24" t="n">
        <f aca="false">IF($Q42="Turnos","",SUM(C47:I47))</f>
        <v>1.20833333333333</v>
      </c>
      <c r="K42" s="25" t="n">
        <f aca="false">SUMPRODUCT(((C42:I42&lt;&gt;"")+(C44:I44&lt;&gt;""))*((C46:I46="")+(C46:I46="Feriado")))</f>
        <v>5</v>
      </c>
      <c r="L42" s="25" t="n">
        <f aca="false">COUNTIF(C46:I46,"OFF")</f>
        <v>1</v>
      </c>
      <c r="M42" s="25" t="str">
        <f aca="false">IF($A42="","",IF($Q42="Horas",IF($S42=0,"–",TEXT($S42,"[h]:mm")&amp;" hs"),IF($T42=0,"–",$T42&amp;IF($T42=1," turno"," turnos"))))</f>
        <v>6:00 hs</v>
      </c>
      <c r="N42" s="25" t="n">
        <f aca="false">COUNTIF(C46:I46,"Ausente")</f>
        <v>1</v>
      </c>
      <c r="O42" s="26" t="str">
        <f aca="false">IF($A42="","",IF($Q42="Horas",TEXT($U42,"[h]:mm")&amp;" hs",$V42&amp;IF($V42=1," turno"," turnos")))</f>
        <v>39:30 hs</v>
      </c>
      <c r="Q42" s="0" t="str">
        <f aca="false">IFERROR(INDEX(Equipo!$D$5:$D$14,6)&amp;"","")</f>
        <v>Horas</v>
      </c>
      <c r="R42" s="18" t="n">
        <f aca="false">N(INDEX(Equipo!$E$5:$E$14,6))</f>
        <v>0.1875</v>
      </c>
      <c r="S42" s="18" t="n">
        <f aca="false">SUMPRODUCT(C47:I47*(C46:I46="Feriado"))</f>
        <v>0.25</v>
      </c>
      <c r="T42" s="18" t="n">
        <f aca="false">COUNTIFS(C46:I46,"Feriado",C42:I42,"&lt;&gt;")+COUNTIFS(C46:I46,"Feriado",C44:I44,"&lt;&gt;")</f>
        <v>1</v>
      </c>
      <c r="U42" s="18" t="n">
        <f aca="false">N(J42)+L42*R42+S42</f>
        <v>1.64583333333333</v>
      </c>
      <c r="V42" s="18" t="n">
        <f aca="false">K42+L42+T42</f>
        <v>7</v>
      </c>
    </row>
    <row r="43" customFormat="false" ht="15" hidden="false" customHeight="false" outlineLevel="0" collapsed="false">
      <c r="A43" s="22" t="str">
        <f aca="false">IF($A42="","",INDEX(Equipo!$C$5:$C$14,6)&amp;"")</f>
        <v>Staff</v>
      </c>
      <c r="B43" s="22" t="s">
        <v>42</v>
      </c>
      <c r="C43" s="23" t="n">
        <v>0.833333333333333</v>
      </c>
      <c r="D43" s="23" t="n">
        <v>0.833333333333333</v>
      </c>
      <c r="E43" s="23" t="n">
        <v>0.833333333333333</v>
      </c>
      <c r="F43" s="23"/>
      <c r="G43" s="23" t="n">
        <v>0.833333333333333</v>
      </c>
      <c r="H43" s="23"/>
      <c r="I43" s="23" t="n">
        <v>0.791666666666667</v>
      </c>
      <c r="J43" s="24"/>
      <c r="K43" s="24"/>
      <c r="L43" s="24"/>
      <c r="M43" s="24"/>
      <c r="N43" s="24"/>
      <c r="O43" s="24"/>
    </row>
    <row r="44" customFormat="false" ht="15" hidden="false" customHeight="false" outlineLevel="0" collapsed="false">
      <c r="A44" s="22" t="str">
        <f aca="false">IF($A42="","","Cobra por "&amp;LOWER(INDEX(Equipo!$D$5:$D$14,6)))</f>
        <v>Cobra por horas</v>
      </c>
      <c r="B44" s="22" t="s">
        <v>43</v>
      </c>
      <c r="C44" s="23"/>
      <c r="D44" s="23"/>
      <c r="E44" s="23"/>
      <c r="F44" s="23"/>
      <c r="G44" s="23"/>
      <c r="H44" s="23"/>
      <c r="I44" s="23"/>
      <c r="J44" s="24"/>
      <c r="K44" s="24"/>
      <c r="L44" s="24"/>
      <c r="M44" s="24"/>
      <c r="N44" s="24"/>
      <c r="O44" s="24"/>
    </row>
    <row r="45" customFormat="false" ht="15" hidden="false" customHeight="false" outlineLevel="0" collapsed="false">
      <c r="B45" s="22" t="s">
        <v>44</v>
      </c>
      <c r="C45" s="23"/>
      <c r="D45" s="23"/>
      <c r="E45" s="23"/>
      <c r="F45" s="23"/>
      <c r="G45" s="23"/>
      <c r="H45" s="23"/>
      <c r="I45" s="23"/>
      <c r="J45" s="24"/>
      <c r="K45" s="24"/>
      <c r="L45" s="24"/>
      <c r="M45" s="24"/>
      <c r="N45" s="24"/>
      <c r="O45" s="24"/>
    </row>
    <row r="46" customFormat="false" ht="15" hidden="false" customHeight="false" outlineLevel="0" collapsed="false">
      <c r="B46" s="22" t="s">
        <v>45</v>
      </c>
      <c r="C46" s="27" t="s">
        <v>32</v>
      </c>
      <c r="D46" s="27"/>
      <c r="E46" s="27"/>
      <c r="F46" s="27" t="s">
        <v>49</v>
      </c>
      <c r="G46" s="27"/>
      <c r="H46" s="27" t="s">
        <v>46</v>
      </c>
      <c r="I46" s="27"/>
      <c r="J46" s="24"/>
      <c r="K46" s="24"/>
      <c r="L46" s="24"/>
      <c r="M46" s="24"/>
      <c r="N46" s="24"/>
      <c r="O46" s="24"/>
    </row>
    <row r="47" customFormat="false" ht="15" hidden="false" customHeight="false" outlineLevel="0" collapsed="false">
      <c r="B47" s="28" t="s">
        <v>47</v>
      </c>
      <c r="C47" s="29" t="n">
        <f aca="false">IF(AND(C46&lt;&gt;"",C46&lt;&gt;"Feriado"),0,IF(AND(C42&lt;&gt;"",C43&lt;&gt;""),MOD(C43-C42,1),0)+IF(AND(C44&lt;&gt;"",C45&lt;&gt;""),MOD(C45-C44,1),0))</f>
        <v>0.25</v>
      </c>
      <c r="D47" s="29" t="n">
        <f aca="false">IF(AND(D46&lt;&gt;"",D46&lt;&gt;"Feriado"),0,IF(AND(D42&lt;&gt;"",D43&lt;&gt;""),MOD(D43-D42,1),0)+IF(AND(D44&lt;&gt;"",D45&lt;&gt;""),MOD(D45-D44,1),0))</f>
        <v>0.25</v>
      </c>
      <c r="E47" s="29" t="n">
        <f aca="false">IF(AND(E46&lt;&gt;"",E46&lt;&gt;"Feriado"),0,IF(AND(E42&lt;&gt;"",E43&lt;&gt;""),MOD(E43-E42,1),0)+IF(AND(E44&lt;&gt;"",E45&lt;&gt;""),MOD(E45-E44,1),0))</f>
        <v>0.25</v>
      </c>
      <c r="F47" s="29" t="n">
        <f aca="false">IF(AND(F46&lt;&gt;"",F46&lt;&gt;"Feriado"),0,IF(AND(F42&lt;&gt;"",F43&lt;&gt;""),MOD(F43-F42,1),0)+IF(AND(F44&lt;&gt;"",F45&lt;&gt;""),MOD(F45-F44,1),0))</f>
        <v>0</v>
      </c>
      <c r="G47" s="29" t="n">
        <f aca="false">IF(AND(G46&lt;&gt;"",G46&lt;&gt;"Feriado"),0,IF(AND(G42&lt;&gt;"",G43&lt;&gt;""),MOD(G43-G42,1),0)+IF(AND(G44&lt;&gt;"",G45&lt;&gt;""),MOD(G45-G44,1),0))</f>
        <v>0.25</v>
      </c>
      <c r="H47" s="29" t="n">
        <f aca="false">IF(AND(H46&lt;&gt;"",H46&lt;&gt;"Feriado"),0,IF(AND(H42&lt;&gt;"",H43&lt;&gt;""),MOD(H43-H42,1),0)+IF(AND(H44&lt;&gt;"",H45&lt;&gt;""),MOD(H45-H44,1),0))</f>
        <v>0</v>
      </c>
      <c r="I47" s="29" t="n">
        <f aca="false">IF(AND(I46&lt;&gt;"",I46&lt;&gt;"Feriado"),0,IF(AND(I42&lt;&gt;"",I43&lt;&gt;""),MOD(I43-I42,1),0)+IF(AND(I44&lt;&gt;"",I45&lt;&gt;""),MOD(I45-I44,1),0))</f>
        <v>0.208333333333333</v>
      </c>
      <c r="J47" s="24"/>
      <c r="K47" s="24"/>
      <c r="L47" s="24"/>
      <c r="M47" s="24"/>
      <c r="N47" s="24"/>
      <c r="O47" s="24"/>
    </row>
    <row r="49" customFormat="false" ht="15" hidden="false" customHeight="false" outlineLevel="0" collapsed="false">
      <c r="A49" s="21" t="str">
        <f aca="false">IFERROR(INDEX(Equipo!$B$5:$B$14,7)&amp;"","")</f>
        <v>Valentina Sosa</v>
      </c>
      <c r="B49" s="22" t="s">
        <v>41</v>
      </c>
      <c r="C49" s="23"/>
      <c r="D49" s="23"/>
      <c r="E49" s="23"/>
      <c r="F49" s="23"/>
      <c r="G49" s="23"/>
      <c r="H49" s="23"/>
      <c r="I49" s="23"/>
      <c r="J49" s="24" t="n">
        <f aca="false">IF($Q49="Turnos","",SUM(C54:I54))</f>
        <v>1.10416666666667</v>
      </c>
      <c r="K49" s="25" t="n">
        <f aca="false">SUMPRODUCT(((C49:I49&lt;&gt;"")+(C51:I51&lt;&gt;""))*((C53:I53="")+(C53:I53="Feriado")))</f>
        <v>5</v>
      </c>
      <c r="L49" s="25" t="n">
        <f aca="false">COUNTIF(C53:I53,"OFF")</f>
        <v>1</v>
      </c>
      <c r="M49" s="25" t="str">
        <f aca="false">IF($A49="","",IF($Q49="Horas",IF($S49=0,"–",TEXT($S49,"[h]:mm")&amp;" hs"),IF($T49=0,"–",$T49&amp;IF($T49=1," turno"," turnos"))))</f>
        <v>5:00 hs</v>
      </c>
      <c r="N49" s="25" t="n">
        <f aca="false">COUNTIF(C53:I53,"Ausente")</f>
        <v>0</v>
      </c>
      <c r="O49" s="26" t="str">
        <f aca="false">IF($A49="","",IF($Q49="Horas",TEXT($U49,"[h]:mm")&amp;" hs",$V49&amp;IF($V49=1," turno"," turnos")))</f>
        <v>36:00 hs</v>
      </c>
      <c r="Q49" s="0" t="str">
        <f aca="false">IFERROR(INDEX(Equipo!$D$5:$D$14,7)&amp;"","")</f>
        <v>Horas</v>
      </c>
      <c r="R49" s="18" t="n">
        <f aca="false">N(INDEX(Equipo!$E$5:$E$14,7))</f>
        <v>0.1875</v>
      </c>
      <c r="S49" s="18" t="n">
        <f aca="false">SUMPRODUCT(C54:I54*(C53:I53="Feriado"))</f>
        <v>0.208333333333333</v>
      </c>
      <c r="T49" s="18" t="n">
        <f aca="false">COUNTIFS(C53:I53,"Feriado",C49:I49,"&lt;&gt;")+COUNTIFS(C53:I53,"Feriado",C51:I51,"&lt;&gt;")</f>
        <v>1</v>
      </c>
      <c r="U49" s="18" t="n">
        <f aca="false">N(J49)+L49*R49+S49</f>
        <v>1.5</v>
      </c>
      <c r="V49" s="18" t="n">
        <f aca="false">K49+L49+T49</f>
        <v>7</v>
      </c>
    </row>
    <row r="50" customFormat="false" ht="15" hidden="false" customHeight="false" outlineLevel="0" collapsed="false">
      <c r="A50" s="22" t="str">
        <f aca="false">IF($A49="","",INDEX(Equipo!$C$5:$C$14,7)&amp;"")</f>
        <v>Staff</v>
      </c>
      <c r="B50" s="22" t="s">
        <v>42</v>
      </c>
      <c r="C50" s="23"/>
      <c r="D50" s="23"/>
      <c r="E50" s="23"/>
      <c r="F50" s="23"/>
      <c r="G50" s="23"/>
      <c r="H50" s="23"/>
      <c r="I50" s="23"/>
      <c r="J50" s="24"/>
      <c r="K50" s="24"/>
      <c r="L50" s="24"/>
      <c r="M50" s="24"/>
      <c r="N50" s="24"/>
      <c r="O50" s="24"/>
    </row>
    <row r="51" customFormat="false" ht="15" hidden="false" customHeight="false" outlineLevel="0" collapsed="false">
      <c r="A51" s="22" t="str">
        <f aca="false">IF($A49="","","Cobra por "&amp;LOWER(INDEX(Equipo!$D$5:$D$14,7)))</f>
        <v>Cobra por horas</v>
      </c>
      <c r="B51" s="22" t="s">
        <v>43</v>
      </c>
      <c r="C51" s="23" t="n">
        <v>0.75</v>
      </c>
      <c r="D51" s="23"/>
      <c r="E51" s="23" t="n">
        <v>0.75</v>
      </c>
      <c r="F51" s="23" t="n">
        <v>0.75</v>
      </c>
      <c r="G51" s="23" t="n">
        <v>0.75</v>
      </c>
      <c r="H51" s="23" t="n">
        <v>0.75</v>
      </c>
      <c r="I51" s="23"/>
      <c r="J51" s="24"/>
      <c r="K51" s="24"/>
      <c r="L51" s="24"/>
      <c r="M51" s="24"/>
      <c r="N51" s="24"/>
      <c r="O51" s="24"/>
    </row>
    <row r="52" customFormat="false" ht="15" hidden="false" customHeight="false" outlineLevel="0" collapsed="false">
      <c r="B52" s="22" t="s">
        <v>44</v>
      </c>
      <c r="C52" s="23" t="n">
        <v>0.958333333333333</v>
      </c>
      <c r="D52" s="23"/>
      <c r="E52" s="23" t="n">
        <v>0.958333333333333</v>
      </c>
      <c r="F52" s="23" t="n">
        <v>0.958333333333333</v>
      </c>
      <c r="G52" s="23" t="n">
        <v>0.979166666666667</v>
      </c>
      <c r="H52" s="23" t="n">
        <v>0</v>
      </c>
      <c r="I52" s="23"/>
      <c r="J52" s="24"/>
      <c r="K52" s="24"/>
      <c r="L52" s="24"/>
      <c r="M52" s="24"/>
      <c r="N52" s="24"/>
      <c r="O52" s="24"/>
    </row>
    <row r="53" customFormat="false" ht="15" hidden="false" customHeight="false" outlineLevel="0" collapsed="false">
      <c r="B53" s="22" t="s">
        <v>45</v>
      </c>
      <c r="C53" s="27" t="s">
        <v>32</v>
      </c>
      <c r="D53" s="27" t="s">
        <v>46</v>
      </c>
      <c r="E53" s="27"/>
      <c r="F53" s="27"/>
      <c r="G53" s="27"/>
      <c r="H53" s="27"/>
      <c r="I53" s="27"/>
      <c r="J53" s="24"/>
      <c r="K53" s="24"/>
      <c r="L53" s="24"/>
      <c r="M53" s="24"/>
      <c r="N53" s="24"/>
      <c r="O53" s="24"/>
    </row>
    <row r="54" customFormat="false" ht="15" hidden="false" customHeight="false" outlineLevel="0" collapsed="false">
      <c r="B54" s="28" t="s">
        <v>47</v>
      </c>
      <c r="C54" s="29" t="n">
        <f aca="false">IF(AND(C53&lt;&gt;"",C53&lt;&gt;"Feriado"),0,IF(AND(C49&lt;&gt;"",C50&lt;&gt;""),MOD(C50-C49,1),0)+IF(AND(C51&lt;&gt;"",C52&lt;&gt;""),MOD(C52-C51,1),0))</f>
        <v>0.208333333333333</v>
      </c>
      <c r="D54" s="29" t="n">
        <f aca="false">IF(AND(D53&lt;&gt;"",D53&lt;&gt;"Feriado"),0,IF(AND(D49&lt;&gt;"",D50&lt;&gt;""),MOD(D50-D49,1),0)+IF(AND(D51&lt;&gt;"",D52&lt;&gt;""),MOD(D52-D51,1),0))</f>
        <v>0</v>
      </c>
      <c r="E54" s="29" t="n">
        <f aca="false">IF(AND(E53&lt;&gt;"",E53&lt;&gt;"Feriado"),0,IF(AND(E49&lt;&gt;"",E50&lt;&gt;""),MOD(E50-E49,1),0)+IF(AND(E51&lt;&gt;"",E52&lt;&gt;""),MOD(E52-E51,1),0))</f>
        <v>0.208333333333333</v>
      </c>
      <c r="F54" s="29" t="n">
        <f aca="false">IF(AND(F53&lt;&gt;"",F53&lt;&gt;"Feriado"),0,IF(AND(F49&lt;&gt;"",F50&lt;&gt;""),MOD(F50-F49,1),0)+IF(AND(F51&lt;&gt;"",F52&lt;&gt;""),MOD(F52-F51,1),0))</f>
        <v>0.208333333333333</v>
      </c>
      <c r="G54" s="29" t="n">
        <f aca="false">IF(AND(G53&lt;&gt;"",G53&lt;&gt;"Feriado"),0,IF(AND(G49&lt;&gt;"",G50&lt;&gt;""),MOD(G50-G49,1),0)+IF(AND(G51&lt;&gt;"",G52&lt;&gt;""),MOD(G52-G51,1),0))</f>
        <v>0.229166666666667</v>
      </c>
      <c r="H54" s="29" t="n">
        <f aca="false">IF(AND(H53&lt;&gt;"",H53&lt;&gt;"Feriado"),0,IF(AND(H49&lt;&gt;"",H50&lt;&gt;""),MOD(H50-H49,1),0)+IF(AND(H51&lt;&gt;"",H52&lt;&gt;""),MOD(H52-H51,1),0))</f>
        <v>0.25</v>
      </c>
      <c r="I54" s="29" t="n">
        <f aca="false">IF(AND(I53&lt;&gt;"",I53&lt;&gt;"Feriado"),0,IF(AND(I49&lt;&gt;"",I50&lt;&gt;""),MOD(I50-I49,1),0)+IF(AND(I51&lt;&gt;"",I52&lt;&gt;""),MOD(I52-I51,1),0))</f>
        <v>0</v>
      </c>
      <c r="J54" s="24"/>
      <c r="K54" s="24"/>
      <c r="L54" s="24"/>
      <c r="M54" s="24"/>
      <c r="N54" s="24"/>
      <c r="O54" s="24"/>
    </row>
    <row r="56" customFormat="false" ht="15" hidden="false" customHeight="false" outlineLevel="0" collapsed="false">
      <c r="A56" s="21" t="str">
        <f aca="false">IFERROR(INDEX(Equipo!$B$5:$B$14,8)&amp;"","")</f>
        <v>Rocío Álvarez</v>
      </c>
      <c r="B56" s="22" t="s">
        <v>41</v>
      </c>
      <c r="C56" s="23"/>
      <c r="D56" s="23"/>
      <c r="E56" s="23"/>
      <c r="F56" s="23"/>
      <c r="G56" s="23"/>
      <c r="H56" s="23" t="n">
        <v>0.5</v>
      </c>
      <c r="I56" s="23" t="n">
        <v>0.5</v>
      </c>
      <c r="J56" s="24" t="n">
        <f aca="false">IF($Q56="Turnos","",SUM(C61:I61))</f>
        <v>0.666666666666667</v>
      </c>
      <c r="K56" s="25" t="n">
        <f aca="false">SUMPRODUCT(((C56:I56&lt;&gt;"")+(C58:I58&lt;&gt;""))*((C60:I60="")+(C60:I60="Feriado")))</f>
        <v>2</v>
      </c>
      <c r="L56" s="25" t="n">
        <f aca="false">COUNTIF(C60:I60,"OFF")</f>
        <v>1</v>
      </c>
      <c r="M56" s="25" t="str">
        <f aca="false">IF($A56="","",IF($Q56="Horas",IF($S56=0,"–",TEXT($S56,"[h]:mm")&amp;" hs"),IF($T56=0,"–",$T56&amp;IF($T56=1," turno"," turnos"))))</f>
        <v>–</v>
      </c>
      <c r="N56" s="25" t="n">
        <f aca="false">COUNTIF(C60:I60,"Ausente")</f>
        <v>0</v>
      </c>
      <c r="O56" s="26" t="str">
        <f aca="false">IF($A56="","",IF($Q56="Horas",TEXT($U56,"[h]:mm")&amp;" hs",$V56&amp;IF($V56=1," turno"," turnos")))</f>
        <v>20:30 hs</v>
      </c>
      <c r="Q56" s="0" t="str">
        <f aca="false">IFERROR(INDEX(Equipo!$D$5:$D$14,8)&amp;"","")</f>
        <v>Horas</v>
      </c>
      <c r="R56" s="18" t="n">
        <f aca="false">N(INDEX(Equipo!$E$5:$E$14,8))</f>
        <v>0.1875</v>
      </c>
      <c r="S56" s="18" t="n">
        <f aca="false">SUMPRODUCT(C61:I61*(C60:I60="Feriado"))</f>
        <v>0</v>
      </c>
      <c r="T56" s="18" t="n">
        <f aca="false">COUNTIFS(C60:I60,"Feriado",C56:I56,"&lt;&gt;")+COUNTIFS(C60:I60,"Feriado",C58:I58,"&lt;&gt;")</f>
        <v>0</v>
      </c>
      <c r="U56" s="18" t="n">
        <f aca="false">N(J56)+L56*R56+S56</f>
        <v>0.854166666666667</v>
      </c>
      <c r="V56" s="18" t="n">
        <f aca="false">K56+L56+T56</f>
        <v>3</v>
      </c>
    </row>
    <row r="57" customFormat="false" ht="15" hidden="false" customHeight="false" outlineLevel="0" collapsed="false">
      <c r="A57" s="22" t="str">
        <f aca="false">IF($A56="","",INDEX(Equipo!$C$5:$C$14,8)&amp;"")</f>
        <v>Staff</v>
      </c>
      <c r="B57" s="22" t="s">
        <v>42</v>
      </c>
      <c r="C57" s="23"/>
      <c r="D57" s="23"/>
      <c r="E57" s="23"/>
      <c r="F57" s="23"/>
      <c r="G57" s="23"/>
      <c r="H57" s="23" t="n">
        <v>0.833333333333333</v>
      </c>
      <c r="I57" s="23" t="n">
        <v>0.833333333333333</v>
      </c>
      <c r="J57" s="24"/>
      <c r="K57" s="24"/>
      <c r="L57" s="24"/>
      <c r="M57" s="24"/>
      <c r="N57" s="24"/>
      <c r="O57" s="24"/>
    </row>
    <row r="58" customFormat="false" ht="15" hidden="false" customHeight="false" outlineLevel="0" collapsed="false">
      <c r="A58" s="22" t="str">
        <f aca="false">IF($A56="","","Cobra por "&amp;LOWER(INDEX(Equipo!$D$5:$D$14,8)))</f>
        <v>Cobra por horas</v>
      </c>
      <c r="B58" s="22" t="s">
        <v>43</v>
      </c>
      <c r="C58" s="23"/>
      <c r="D58" s="23"/>
      <c r="E58" s="23"/>
      <c r="F58" s="23"/>
      <c r="G58" s="23"/>
      <c r="H58" s="23"/>
      <c r="I58" s="23"/>
      <c r="J58" s="24"/>
      <c r="K58" s="24"/>
      <c r="L58" s="24"/>
      <c r="M58" s="24"/>
      <c r="N58" s="24"/>
      <c r="O58" s="24"/>
    </row>
    <row r="59" customFormat="false" ht="15" hidden="false" customHeight="false" outlineLevel="0" collapsed="false">
      <c r="B59" s="22" t="s">
        <v>44</v>
      </c>
      <c r="C59" s="23"/>
      <c r="D59" s="23"/>
      <c r="E59" s="23"/>
      <c r="F59" s="23"/>
      <c r="G59" s="23"/>
      <c r="H59" s="23"/>
      <c r="I59" s="23"/>
      <c r="J59" s="24"/>
      <c r="K59" s="24"/>
      <c r="L59" s="24"/>
      <c r="M59" s="24"/>
      <c r="N59" s="24"/>
      <c r="O59" s="24"/>
    </row>
    <row r="60" customFormat="false" ht="15" hidden="false" customHeight="false" outlineLevel="0" collapsed="false">
      <c r="B60" s="22" t="s">
        <v>45</v>
      </c>
      <c r="C60" s="27" t="s">
        <v>50</v>
      </c>
      <c r="D60" s="27" t="s">
        <v>50</v>
      </c>
      <c r="E60" s="27" t="s">
        <v>50</v>
      </c>
      <c r="F60" s="27" t="s">
        <v>46</v>
      </c>
      <c r="G60" s="27"/>
      <c r="H60" s="27"/>
      <c r="I60" s="27"/>
      <c r="J60" s="24"/>
      <c r="K60" s="24"/>
      <c r="L60" s="24"/>
      <c r="M60" s="24"/>
      <c r="N60" s="24"/>
      <c r="O60" s="24"/>
    </row>
    <row r="61" customFormat="false" ht="15" hidden="false" customHeight="false" outlineLevel="0" collapsed="false">
      <c r="B61" s="28" t="s">
        <v>47</v>
      </c>
      <c r="C61" s="29" t="n">
        <f aca="false">IF(AND(C60&lt;&gt;"",C60&lt;&gt;"Feriado"),0,IF(AND(C56&lt;&gt;"",C57&lt;&gt;""),MOD(C57-C56,1),0)+IF(AND(C58&lt;&gt;"",C59&lt;&gt;""),MOD(C59-C58,1),0))</f>
        <v>0</v>
      </c>
      <c r="D61" s="29" t="n">
        <f aca="false">IF(AND(D60&lt;&gt;"",D60&lt;&gt;"Feriado"),0,IF(AND(D56&lt;&gt;"",D57&lt;&gt;""),MOD(D57-D56,1),0)+IF(AND(D58&lt;&gt;"",D59&lt;&gt;""),MOD(D59-D58,1),0))</f>
        <v>0</v>
      </c>
      <c r="E61" s="29" t="n">
        <f aca="false">IF(AND(E60&lt;&gt;"",E60&lt;&gt;"Feriado"),0,IF(AND(E56&lt;&gt;"",E57&lt;&gt;""),MOD(E57-E56,1),0)+IF(AND(E58&lt;&gt;"",E59&lt;&gt;""),MOD(E59-E58,1),0))</f>
        <v>0</v>
      </c>
      <c r="F61" s="29" t="n">
        <f aca="false">IF(AND(F60&lt;&gt;"",F60&lt;&gt;"Feriado"),0,IF(AND(F56&lt;&gt;"",F57&lt;&gt;""),MOD(F57-F56,1),0)+IF(AND(F58&lt;&gt;"",F59&lt;&gt;""),MOD(F59-F58,1),0))</f>
        <v>0</v>
      </c>
      <c r="G61" s="29" t="n">
        <f aca="false">IF(AND(G60&lt;&gt;"",G60&lt;&gt;"Feriado"),0,IF(AND(G56&lt;&gt;"",G57&lt;&gt;""),MOD(G57-G56,1),0)+IF(AND(G58&lt;&gt;"",G59&lt;&gt;""),MOD(G59-G58,1),0))</f>
        <v>0</v>
      </c>
      <c r="H61" s="29" t="n">
        <f aca="false">IF(AND(H60&lt;&gt;"",H60&lt;&gt;"Feriado"),0,IF(AND(H56&lt;&gt;"",H57&lt;&gt;""),MOD(H57-H56,1),0)+IF(AND(H58&lt;&gt;"",H59&lt;&gt;""),MOD(H59-H58,1),0))</f>
        <v>0.333333333333333</v>
      </c>
      <c r="I61" s="29" t="n">
        <f aca="false">IF(AND(I60&lt;&gt;"",I60&lt;&gt;"Feriado"),0,IF(AND(I56&lt;&gt;"",I57&lt;&gt;""),MOD(I57-I56,1),0)+IF(AND(I58&lt;&gt;"",I59&lt;&gt;""),MOD(I59-I58,1),0))</f>
        <v>0.333333333333333</v>
      </c>
      <c r="J61" s="24"/>
      <c r="K61" s="24"/>
      <c r="L61" s="24"/>
      <c r="M61" s="24"/>
      <c r="N61" s="24"/>
      <c r="O61" s="24"/>
    </row>
    <row r="63" customFormat="false" ht="15" hidden="false" customHeight="false" outlineLevel="0" collapsed="false">
      <c r="A63" s="21" t="str">
        <f aca="false">IFERROR(INDEX(Equipo!$B$5:$B$14,9)&amp;"","")</f>
        <v/>
      </c>
      <c r="B63" s="22" t="s">
        <v>41</v>
      </c>
      <c r="C63" s="23"/>
      <c r="D63" s="23"/>
      <c r="E63" s="23"/>
      <c r="F63" s="23"/>
      <c r="G63" s="23"/>
      <c r="H63" s="23"/>
      <c r="I63" s="23"/>
      <c r="J63" s="24" t="n">
        <f aca="false">IF($Q63="Turnos","",SUM(C68:I68))</f>
        <v>0</v>
      </c>
      <c r="K63" s="25" t="n">
        <f aca="false">SUMPRODUCT(((C63:I63&lt;&gt;"")+(C65:I65&lt;&gt;""))*((C67:I67="")+(C67:I67="Feriado")))</f>
        <v>0</v>
      </c>
      <c r="L63" s="25" t="n">
        <f aca="false">COUNTIF(C67:I67,"OFF")</f>
        <v>0</v>
      </c>
      <c r="M63" s="25" t="str">
        <f aca="false">IF($A63="","",IF($Q63="Horas",IF($S63=0,"–",TEXT($S63,"[h]:mm")&amp;" hs"),IF($T63=0,"–",$T63&amp;IF($T63=1," turno"," turnos"))))</f>
        <v/>
      </c>
      <c r="N63" s="25" t="n">
        <f aca="false">COUNTIF(C67:I67,"Ausente")</f>
        <v>0</v>
      </c>
      <c r="O63" s="26" t="str">
        <f aca="false">IF($A63="","",IF($Q63="Horas",TEXT($U63,"[h]:mm")&amp;" hs",$V63&amp;IF($V63=1," turno"," turnos")))</f>
        <v/>
      </c>
      <c r="Q63" s="0" t="str">
        <f aca="false">IFERROR(INDEX(Equipo!$D$5:$D$14,9)&amp;"","")</f>
        <v/>
      </c>
      <c r="R63" s="18" t="n">
        <f aca="false">N(INDEX(Equipo!$E$5:$E$14,9))</f>
        <v>0</v>
      </c>
      <c r="S63" s="18" t="n">
        <f aca="false">SUMPRODUCT(C68:I68*(C67:I67="Feriado"))</f>
        <v>0</v>
      </c>
      <c r="T63" s="18" t="n">
        <f aca="false">COUNTIFS(C67:I67,"Feriado",C63:I63,"&lt;&gt;")+COUNTIFS(C67:I67,"Feriado",C65:I65,"&lt;&gt;")</f>
        <v>0</v>
      </c>
      <c r="U63" s="18" t="n">
        <f aca="false">N(J63)+L63*R63+S63</f>
        <v>0</v>
      </c>
      <c r="V63" s="18" t="n">
        <f aca="false">K63+L63+T63</f>
        <v>0</v>
      </c>
    </row>
    <row r="64" customFormat="false" ht="15" hidden="false" customHeight="false" outlineLevel="0" collapsed="false">
      <c r="A64" s="22" t="str">
        <f aca="false">IF($A63="","",INDEX(Equipo!$C$5:$C$14,9)&amp;"")</f>
        <v/>
      </c>
      <c r="B64" s="22" t="s">
        <v>42</v>
      </c>
      <c r="C64" s="23"/>
      <c r="D64" s="23"/>
      <c r="E64" s="23"/>
      <c r="F64" s="23"/>
      <c r="G64" s="23"/>
      <c r="H64" s="23"/>
      <c r="I64" s="23"/>
      <c r="J64" s="24"/>
      <c r="K64" s="24"/>
      <c r="L64" s="24"/>
      <c r="M64" s="24"/>
      <c r="N64" s="24"/>
      <c r="O64" s="24"/>
    </row>
    <row r="65" customFormat="false" ht="15" hidden="false" customHeight="false" outlineLevel="0" collapsed="false">
      <c r="A65" s="22" t="str">
        <f aca="false">IF($A63="","","Cobra por "&amp;LOWER(INDEX(Equipo!$D$5:$D$14,9)))</f>
        <v/>
      </c>
      <c r="B65" s="22" t="s">
        <v>43</v>
      </c>
      <c r="C65" s="23"/>
      <c r="D65" s="23"/>
      <c r="E65" s="23"/>
      <c r="F65" s="23"/>
      <c r="G65" s="23"/>
      <c r="H65" s="23"/>
      <c r="I65" s="23"/>
      <c r="J65" s="24"/>
      <c r="K65" s="24"/>
      <c r="L65" s="24"/>
      <c r="M65" s="24"/>
      <c r="N65" s="24"/>
      <c r="O65" s="24"/>
    </row>
    <row r="66" customFormat="false" ht="15" hidden="false" customHeight="false" outlineLevel="0" collapsed="false">
      <c r="B66" s="22" t="s">
        <v>44</v>
      </c>
      <c r="C66" s="23"/>
      <c r="D66" s="23"/>
      <c r="E66" s="23"/>
      <c r="F66" s="23"/>
      <c r="G66" s="23"/>
      <c r="H66" s="23"/>
      <c r="I66" s="23"/>
      <c r="J66" s="24"/>
      <c r="K66" s="24"/>
      <c r="L66" s="24"/>
      <c r="M66" s="24"/>
      <c r="N66" s="24"/>
      <c r="O66" s="24"/>
    </row>
    <row r="67" customFormat="false" ht="15" hidden="false" customHeight="false" outlineLevel="0" collapsed="false">
      <c r="B67" s="22" t="s">
        <v>45</v>
      </c>
      <c r="C67" s="27"/>
      <c r="D67" s="27"/>
      <c r="E67" s="27"/>
      <c r="F67" s="27"/>
      <c r="G67" s="27"/>
      <c r="H67" s="27"/>
      <c r="I67" s="27"/>
      <c r="J67" s="24"/>
      <c r="K67" s="24"/>
      <c r="L67" s="24"/>
      <c r="M67" s="24"/>
      <c r="N67" s="24"/>
      <c r="O67" s="24"/>
    </row>
    <row r="68" customFormat="false" ht="15" hidden="false" customHeight="false" outlineLevel="0" collapsed="false">
      <c r="B68" s="28" t="s">
        <v>47</v>
      </c>
      <c r="C68" s="29" t="n">
        <f aca="false">IF(AND(C67&lt;&gt;"",C67&lt;&gt;"Feriado"),0,IF(AND(C63&lt;&gt;"",C64&lt;&gt;""),MOD(C64-C63,1),0)+IF(AND(C65&lt;&gt;"",C66&lt;&gt;""),MOD(C66-C65,1),0))</f>
        <v>0</v>
      </c>
      <c r="D68" s="29" t="n">
        <f aca="false">IF(AND(D67&lt;&gt;"",D67&lt;&gt;"Feriado"),0,IF(AND(D63&lt;&gt;"",D64&lt;&gt;""),MOD(D64-D63,1),0)+IF(AND(D65&lt;&gt;"",D66&lt;&gt;""),MOD(D66-D65,1),0))</f>
        <v>0</v>
      </c>
      <c r="E68" s="29" t="n">
        <f aca="false">IF(AND(E67&lt;&gt;"",E67&lt;&gt;"Feriado"),0,IF(AND(E63&lt;&gt;"",E64&lt;&gt;""),MOD(E64-E63,1),0)+IF(AND(E65&lt;&gt;"",E66&lt;&gt;""),MOD(E66-E65,1),0))</f>
        <v>0</v>
      </c>
      <c r="F68" s="29" t="n">
        <f aca="false">IF(AND(F67&lt;&gt;"",F67&lt;&gt;"Feriado"),0,IF(AND(F63&lt;&gt;"",F64&lt;&gt;""),MOD(F64-F63,1),0)+IF(AND(F65&lt;&gt;"",F66&lt;&gt;""),MOD(F66-F65,1),0))</f>
        <v>0</v>
      </c>
      <c r="G68" s="29" t="n">
        <f aca="false">IF(AND(G67&lt;&gt;"",G67&lt;&gt;"Feriado"),0,IF(AND(G63&lt;&gt;"",G64&lt;&gt;""),MOD(G64-G63,1),0)+IF(AND(G65&lt;&gt;"",G66&lt;&gt;""),MOD(G66-G65,1),0))</f>
        <v>0</v>
      </c>
      <c r="H68" s="29" t="n">
        <f aca="false">IF(AND(H67&lt;&gt;"",H67&lt;&gt;"Feriado"),0,IF(AND(H63&lt;&gt;"",H64&lt;&gt;""),MOD(H64-H63,1),0)+IF(AND(H65&lt;&gt;"",H66&lt;&gt;""),MOD(H66-H65,1),0))</f>
        <v>0</v>
      </c>
      <c r="I68" s="29" t="n">
        <f aca="false">IF(AND(I67&lt;&gt;"",I67&lt;&gt;"Feriado"),0,IF(AND(I63&lt;&gt;"",I64&lt;&gt;""),MOD(I64-I63,1),0)+IF(AND(I65&lt;&gt;"",I66&lt;&gt;""),MOD(I66-I65,1),0))</f>
        <v>0</v>
      </c>
      <c r="J68" s="24"/>
      <c r="K68" s="24"/>
      <c r="L68" s="24"/>
      <c r="M68" s="24"/>
      <c r="N68" s="24"/>
      <c r="O68" s="24"/>
    </row>
    <row r="70" customFormat="false" ht="15" hidden="false" customHeight="false" outlineLevel="0" collapsed="false">
      <c r="A70" s="21" t="str">
        <f aca="false">IFERROR(INDEX(Equipo!$B$5:$B$14,10)&amp;"","")</f>
        <v/>
      </c>
      <c r="B70" s="22" t="s">
        <v>41</v>
      </c>
      <c r="C70" s="23"/>
      <c r="D70" s="23"/>
      <c r="E70" s="23"/>
      <c r="F70" s="23"/>
      <c r="G70" s="23"/>
      <c r="H70" s="23"/>
      <c r="I70" s="23"/>
      <c r="J70" s="24" t="n">
        <f aca="false">IF($Q70="Turnos","",SUM(C75:I75))</f>
        <v>0</v>
      </c>
      <c r="K70" s="25" t="n">
        <f aca="false">SUMPRODUCT(((C70:I70&lt;&gt;"")+(C72:I72&lt;&gt;""))*((C74:I74="")+(C74:I74="Feriado")))</f>
        <v>0</v>
      </c>
      <c r="L70" s="25" t="n">
        <f aca="false">COUNTIF(C74:I74,"OFF")</f>
        <v>0</v>
      </c>
      <c r="M70" s="25" t="str">
        <f aca="false">IF($A70="","",IF($Q70="Horas",IF($S70=0,"–",TEXT($S70,"[h]:mm")&amp;" hs"),IF($T70=0,"–",$T70&amp;IF($T70=1," turno"," turnos"))))</f>
        <v/>
      </c>
      <c r="N70" s="25" t="n">
        <f aca="false">COUNTIF(C74:I74,"Ausente")</f>
        <v>0</v>
      </c>
      <c r="O70" s="26" t="str">
        <f aca="false">IF($A70="","",IF($Q70="Horas",TEXT($U70,"[h]:mm")&amp;" hs",$V70&amp;IF($V70=1," turno"," turnos")))</f>
        <v/>
      </c>
      <c r="Q70" s="0" t="str">
        <f aca="false">IFERROR(INDEX(Equipo!$D$5:$D$14,10)&amp;"","")</f>
        <v/>
      </c>
      <c r="R70" s="18" t="n">
        <f aca="false">N(INDEX(Equipo!$E$5:$E$14,10))</f>
        <v>0</v>
      </c>
      <c r="S70" s="18" t="n">
        <f aca="false">SUMPRODUCT(C75:I75*(C74:I74="Feriado"))</f>
        <v>0</v>
      </c>
      <c r="T70" s="18" t="n">
        <f aca="false">COUNTIFS(C74:I74,"Feriado",C70:I70,"&lt;&gt;")+COUNTIFS(C74:I74,"Feriado",C72:I72,"&lt;&gt;")</f>
        <v>0</v>
      </c>
      <c r="U70" s="18" t="n">
        <f aca="false">N(J70)+L70*R70+S70</f>
        <v>0</v>
      </c>
      <c r="V70" s="18" t="n">
        <f aca="false">K70+L70+T70</f>
        <v>0</v>
      </c>
    </row>
    <row r="71" customFormat="false" ht="15" hidden="false" customHeight="false" outlineLevel="0" collapsed="false">
      <c r="A71" s="22" t="str">
        <f aca="false">IF($A70="","",INDEX(Equipo!$C$5:$C$14,10)&amp;"")</f>
        <v/>
      </c>
      <c r="B71" s="22" t="s">
        <v>42</v>
      </c>
      <c r="C71" s="23"/>
      <c r="D71" s="23"/>
      <c r="E71" s="23"/>
      <c r="F71" s="23"/>
      <c r="G71" s="23"/>
      <c r="H71" s="23"/>
      <c r="I71" s="23"/>
      <c r="J71" s="24"/>
      <c r="K71" s="24"/>
      <c r="L71" s="24"/>
      <c r="M71" s="24"/>
      <c r="N71" s="24"/>
      <c r="O71" s="24"/>
    </row>
    <row r="72" customFormat="false" ht="15" hidden="false" customHeight="false" outlineLevel="0" collapsed="false">
      <c r="A72" s="22" t="str">
        <f aca="false">IF($A70="","","Cobra por "&amp;LOWER(INDEX(Equipo!$D$5:$D$14,10)))</f>
        <v/>
      </c>
      <c r="B72" s="22" t="s">
        <v>43</v>
      </c>
      <c r="C72" s="23"/>
      <c r="D72" s="23"/>
      <c r="E72" s="23"/>
      <c r="F72" s="23"/>
      <c r="G72" s="23"/>
      <c r="H72" s="23"/>
      <c r="I72" s="23"/>
      <c r="J72" s="24"/>
      <c r="K72" s="24"/>
      <c r="L72" s="24"/>
      <c r="M72" s="24"/>
      <c r="N72" s="24"/>
      <c r="O72" s="24"/>
    </row>
    <row r="73" customFormat="false" ht="15" hidden="false" customHeight="false" outlineLevel="0" collapsed="false">
      <c r="B73" s="22" t="s">
        <v>44</v>
      </c>
      <c r="C73" s="23"/>
      <c r="D73" s="23"/>
      <c r="E73" s="23"/>
      <c r="F73" s="23"/>
      <c r="G73" s="23"/>
      <c r="H73" s="23"/>
      <c r="I73" s="23"/>
      <c r="J73" s="24"/>
      <c r="K73" s="24"/>
      <c r="L73" s="24"/>
      <c r="M73" s="24"/>
      <c r="N73" s="24"/>
      <c r="O73" s="24"/>
    </row>
    <row r="74" customFormat="false" ht="15" hidden="false" customHeight="false" outlineLevel="0" collapsed="false">
      <c r="B74" s="22" t="s">
        <v>45</v>
      </c>
      <c r="C74" s="27"/>
      <c r="D74" s="27"/>
      <c r="E74" s="27"/>
      <c r="F74" s="27"/>
      <c r="G74" s="27"/>
      <c r="H74" s="27"/>
      <c r="I74" s="27"/>
      <c r="J74" s="24"/>
      <c r="K74" s="24"/>
      <c r="L74" s="24"/>
      <c r="M74" s="24"/>
      <c r="N74" s="24"/>
      <c r="O74" s="24"/>
    </row>
    <row r="75" customFormat="false" ht="15" hidden="false" customHeight="false" outlineLevel="0" collapsed="false">
      <c r="B75" s="28" t="s">
        <v>47</v>
      </c>
      <c r="C75" s="29" t="n">
        <f aca="false">IF(AND(C74&lt;&gt;"",C74&lt;&gt;"Feriado"),0,IF(AND(C70&lt;&gt;"",C71&lt;&gt;""),MOD(C71-C70,1),0)+IF(AND(C72&lt;&gt;"",C73&lt;&gt;""),MOD(C73-C72,1),0))</f>
        <v>0</v>
      </c>
      <c r="D75" s="29" t="n">
        <f aca="false">IF(AND(D74&lt;&gt;"",D74&lt;&gt;"Feriado"),0,IF(AND(D70&lt;&gt;"",D71&lt;&gt;""),MOD(D71-D70,1),0)+IF(AND(D72&lt;&gt;"",D73&lt;&gt;""),MOD(D73-D72,1),0))</f>
        <v>0</v>
      </c>
      <c r="E75" s="29" t="n">
        <f aca="false">IF(AND(E74&lt;&gt;"",E74&lt;&gt;"Feriado"),0,IF(AND(E70&lt;&gt;"",E71&lt;&gt;""),MOD(E71-E70,1),0)+IF(AND(E72&lt;&gt;"",E73&lt;&gt;""),MOD(E73-E72,1),0))</f>
        <v>0</v>
      </c>
      <c r="F75" s="29" t="n">
        <f aca="false">IF(AND(F74&lt;&gt;"",F74&lt;&gt;"Feriado"),0,IF(AND(F70&lt;&gt;"",F71&lt;&gt;""),MOD(F71-F70,1),0)+IF(AND(F72&lt;&gt;"",F73&lt;&gt;""),MOD(F73-F72,1),0))</f>
        <v>0</v>
      </c>
      <c r="G75" s="29" t="n">
        <f aca="false">IF(AND(G74&lt;&gt;"",G74&lt;&gt;"Feriado"),0,IF(AND(G70&lt;&gt;"",G71&lt;&gt;""),MOD(G71-G70,1),0)+IF(AND(G72&lt;&gt;"",G73&lt;&gt;""),MOD(G73-G72,1),0))</f>
        <v>0</v>
      </c>
      <c r="H75" s="29" t="n">
        <f aca="false">IF(AND(H74&lt;&gt;"",H74&lt;&gt;"Feriado"),0,IF(AND(H70&lt;&gt;"",H71&lt;&gt;""),MOD(H71-H70,1),0)+IF(AND(H72&lt;&gt;"",H73&lt;&gt;""),MOD(H73-H72,1),0))</f>
        <v>0</v>
      </c>
      <c r="I75" s="29" t="n">
        <f aca="false">IF(AND(I74&lt;&gt;"",I74&lt;&gt;"Feriado"),0,IF(AND(I70&lt;&gt;"",I71&lt;&gt;""),MOD(I71-I70,1),0)+IF(AND(I72&lt;&gt;"",I73&lt;&gt;""),MOD(I73-I72,1),0))</f>
        <v>0</v>
      </c>
      <c r="J75" s="24"/>
      <c r="K75" s="24"/>
      <c r="L75" s="24"/>
      <c r="M75" s="24"/>
      <c r="N75" s="24"/>
      <c r="O75" s="24"/>
    </row>
    <row r="77" customFormat="false" ht="15" hidden="false" customHeight="false" outlineLevel="0" collapsed="false">
      <c r="A77" s="30" t="s">
        <v>51</v>
      </c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</row>
  </sheetData>
  <mergeCells count="62">
    <mergeCell ref="A1:O1"/>
    <mergeCell ref="J7:J12"/>
    <mergeCell ref="K7:K12"/>
    <mergeCell ref="L7:L12"/>
    <mergeCell ref="M7:M12"/>
    <mergeCell ref="N7:N12"/>
    <mergeCell ref="O7:O12"/>
    <mergeCell ref="J14:J19"/>
    <mergeCell ref="K14:K19"/>
    <mergeCell ref="L14:L19"/>
    <mergeCell ref="M14:M19"/>
    <mergeCell ref="N14:N19"/>
    <mergeCell ref="O14:O19"/>
    <mergeCell ref="J21:J26"/>
    <mergeCell ref="K21:K26"/>
    <mergeCell ref="L21:L26"/>
    <mergeCell ref="M21:M26"/>
    <mergeCell ref="N21:N26"/>
    <mergeCell ref="O21:O26"/>
    <mergeCell ref="J28:J33"/>
    <mergeCell ref="K28:K33"/>
    <mergeCell ref="L28:L33"/>
    <mergeCell ref="M28:M33"/>
    <mergeCell ref="N28:N33"/>
    <mergeCell ref="O28:O33"/>
    <mergeCell ref="J35:J40"/>
    <mergeCell ref="K35:K40"/>
    <mergeCell ref="L35:L40"/>
    <mergeCell ref="M35:M40"/>
    <mergeCell ref="N35:N40"/>
    <mergeCell ref="O35:O40"/>
    <mergeCell ref="J42:J47"/>
    <mergeCell ref="K42:K47"/>
    <mergeCell ref="L42:L47"/>
    <mergeCell ref="M42:M47"/>
    <mergeCell ref="N42:N47"/>
    <mergeCell ref="O42:O47"/>
    <mergeCell ref="J49:J54"/>
    <mergeCell ref="K49:K54"/>
    <mergeCell ref="L49:L54"/>
    <mergeCell ref="M49:M54"/>
    <mergeCell ref="N49:N54"/>
    <mergeCell ref="O49:O54"/>
    <mergeCell ref="J56:J61"/>
    <mergeCell ref="K56:K61"/>
    <mergeCell ref="L56:L61"/>
    <mergeCell ref="M56:M61"/>
    <mergeCell ref="N56:N61"/>
    <mergeCell ref="O56:O61"/>
    <mergeCell ref="J63:J68"/>
    <mergeCell ref="K63:K68"/>
    <mergeCell ref="L63:L68"/>
    <mergeCell ref="M63:M68"/>
    <mergeCell ref="N63:N68"/>
    <mergeCell ref="O63:O68"/>
    <mergeCell ref="J70:J75"/>
    <mergeCell ref="K70:K75"/>
    <mergeCell ref="L70:L75"/>
    <mergeCell ref="M70:M75"/>
    <mergeCell ref="N70:N75"/>
    <mergeCell ref="O70:O75"/>
    <mergeCell ref="A77:O77"/>
  </mergeCells>
  <conditionalFormatting sqref="C7:I76">
    <cfRule type="expression" priority="2" aboveAverage="0" equalAverage="0" bottom="0" percent="0" rank="0" text="" dxfId="0">
      <formula>C7="OFF"</formula>
    </cfRule>
    <cfRule type="expression" priority="3" aboveAverage="0" equalAverage="0" bottom="0" percent="0" rank="0" text="" dxfId="1">
      <formula>C7="Feriado"</formula>
    </cfRule>
    <cfRule type="expression" priority="4" aboveAverage="0" equalAverage="0" bottom="0" percent="0" rank="0" text="" dxfId="2">
      <formula>OR(C7="Ausente",C7="Ausente justificado")</formula>
    </cfRule>
    <cfRule type="expression" priority="5" aboveAverage="0" equalAverage="0" bottom="0" percent="0" rank="0" text="" dxfId="3">
      <formula>C7="Vacaciones"</formula>
    </cfRule>
  </conditionalFormatting>
  <conditionalFormatting sqref="C4:I6">
    <cfRule type="expression" priority="6" aboveAverage="0" equalAverage="0" bottom="0" percent="0" rank="0" text="" dxfId="1">
      <formula>C$6="Feriado"</formula>
    </cfRule>
  </conditionalFormatting>
  <dataValidations count="2">
    <dataValidation allowBlank="true" error="Elegí un estado de la lista o dejalo vacío." errorStyle="stop" errorTitle="Estado" operator="between" showDropDown="false" showErrorMessage="true" showInputMessage="false" sqref="C11:I11 C18:I18 C25:I25 C32:I32 C39:I39 C46:I46 C53:I53 C60:I60 C67:I67 C74:I74" type="list">
      <formula1>"OFF,Feriado,Ausente,Ausente justificado,Vacaciones"</formula1>
      <formula2>0</formula2>
    </dataValidation>
    <dataValidation allowBlank="true" error="Escribí la hora con formato 10:00." errorStyle="stop" errorTitle="Horario" operator="between" showDropDown="false" showErrorMessage="true" showInputMessage="false" sqref="C7:I10 C14:I17 C21:I24 C28:I31 C35:I38 C42:I45 C49:I52 C56:I59 C63:I66 C70:I73" type="time">
      <formula1>0</formula1>
      <formula2>0.999988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9.7" hidden="false" customHeight="fals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1" t="s">
        <v>53</v>
      </c>
      <c r="B2" s="15" t="n">
        <f aca="false">Semana!I2</f>
        <v>46349</v>
      </c>
      <c r="C2" s="21" t="s">
        <v>54</v>
      </c>
      <c r="D2" s="15" t="n">
        <f aca="false">Semana!K2</f>
        <v>46355</v>
      </c>
      <c r="E2" s="21" t="str">
        <f aca="false">Semana!E2</f>
        <v>Mercado Central</v>
      </c>
    </row>
    <row r="4" customFormat="false" ht="15" hidden="false" customHeight="false" outlineLevel="0" collapsed="false">
      <c r="A4" s="31" t="s">
        <v>27</v>
      </c>
      <c r="B4" s="31" t="s">
        <v>55</v>
      </c>
      <c r="C4" s="31" t="s">
        <v>35</v>
      </c>
      <c r="D4" s="31" t="s">
        <v>56</v>
      </c>
      <c r="E4" s="31" t="s">
        <v>46</v>
      </c>
      <c r="F4" s="31" t="s">
        <v>32</v>
      </c>
      <c r="G4" s="31" t="s">
        <v>57</v>
      </c>
      <c r="H4" s="31" t="s">
        <v>50</v>
      </c>
      <c r="I4" s="31" t="s">
        <v>58</v>
      </c>
      <c r="J4" s="31" t="s">
        <v>59</v>
      </c>
    </row>
    <row r="5" customFormat="false" ht="15" hidden="false" customHeight="false" outlineLevel="0" collapsed="false">
      <c r="A5" s="32" t="str">
        <f aca="false">Semana!A7</f>
        <v>Sofía Ríos</v>
      </c>
      <c r="B5" s="33" t="str">
        <f aca="false">IF(A5="","",INDEX(Equipo!$C$5:$C$14,1)&amp;"")</f>
        <v>Encargada</v>
      </c>
      <c r="C5" s="33" t="str">
        <f aca="false">IF(A5="","",INDEX(Equipo!$D$5:$D$14,1)&amp;"")</f>
        <v>Turnos</v>
      </c>
      <c r="D5" s="33" t="str">
        <f aca="false">IF(A5="","",IF(C5="Horas",TEXT(Semana!J7,"[h]:mm")&amp;" hs",Semana!K7&amp;IF(Semana!K7=1," turno"," turnos")))</f>
        <v>6 turnos</v>
      </c>
      <c r="E5" s="33" t="str">
        <f aca="false">IF(A5="","",IF(Semana!L7=0,"–",IF(C5="Horas",TEXT(Semana!L7*Semana!R7,"[h]:mm")&amp;" hs ("&amp;Semana!L7&amp;IF(Semana!L7=1," día)"," días)"),Semana!L7&amp;IF(Semana!L7=1," turno"," turnos"))))</f>
        <v>1 turno</v>
      </c>
      <c r="F5" s="33" t="str">
        <f aca="false">IF(A5="","",Semana!M7)</f>
        <v>1 turno</v>
      </c>
      <c r="G5" s="33" t="str">
        <f aca="false">IF(A5="","",IF(Semana!N7=0,"–",Semana!N7&amp;IF(Semana!N7=1," día"," días")))</f>
        <v>–</v>
      </c>
      <c r="H5" s="33" t="str">
        <f aca="false">IF(A5="","",IF(COUNTIF(Semana!C11:I11,"Vacaciones")=0,"–",COUNTIF(Semana!C11:I11,"Vacaciones")&amp;" días"))</f>
        <v>–</v>
      </c>
      <c r="I5" s="34" t="str">
        <f aca="false">IF(A5="","",Semana!O7)</f>
        <v>8 turnos</v>
      </c>
      <c r="J5" s="35"/>
    </row>
    <row r="6" customFormat="false" ht="15" hidden="false" customHeight="false" outlineLevel="0" collapsed="false">
      <c r="A6" s="32" t="str">
        <f aca="false">Semana!A14</f>
        <v>Lucas Ferreyra</v>
      </c>
      <c r="B6" s="33" t="str">
        <f aca="false">IF(A6="","",INDEX(Equipo!$C$5:$C$14,2)&amp;"")</f>
        <v>Encargado</v>
      </c>
      <c r="C6" s="33" t="str">
        <f aca="false">IF(A6="","",INDEX(Equipo!$D$5:$D$14,2)&amp;"")</f>
        <v>Turnos</v>
      </c>
      <c r="D6" s="33" t="str">
        <f aca="false">IF(A6="","",IF(C6="Horas",TEXT(Semana!J14,"[h]:mm")&amp;" hs",Semana!K14&amp;IF(Semana!K14=1," turno"," turnos")))</f>
        <v>6 turnos</v>
      </c>
      <c r="E6" s="33" t="str">
        <f aca="false">IF(A6="","",IF(Semana!L14=0,"–",IF(C6="Horas",TEXT(Semana!L14*Semana!R14,"[h]:mm")&amp;" hs ("&amp;Semana!L14&amp;IF(Semana!L14=1," día)"," días)"),Semana!L14&amp;IF(Semana!L14=1," turno"," turnos"))))</f>
        <v>1 turno</v>
      </c>
      <c r="F6" s="33" t="str">
        <f aca="false">IF(A6="","",Semana!M14)</f>
        <v>–</v>
      </c>
      <c r="G6" s="33" t="str">
        <f aca="false">IF(A6="","",IF(Semana!N14=0,"–",Semana!N14&amp;IF(Semana!N14=1," día"," días")))</f>
        <v>–</v>
      </c>
      <c r="H6" s="33" t="str">
        <f aca="false">IF(A6="","",IF(COUNTIF(Semana!C18:I18,"Vacaciones")=0,"–",COUNTIF(Semana!C18:I18,"Vacaciones")&amp;" días"))</f>
        <v>–</v>
      </c>
      <c r="I6" s="34" t="str">
        <f aca="false">IF(A6="","",Semana!O14)</f>
        <v>7 turnos</v>
      </c>
      <c r="J6" s="35"/>
    </row>
    <row r="7" customFormat="false" ht="15" hidden="false" customHeight="false" outlineLevel="0" collapsed="false">
      <c r="A7" s="32" t="str">
        <f aca="false">Semana!A21</f>
        <v>Brenda Quiroga</v>
      </c>
      <c r="B7" s="33" t="str">
        <f aca="false">IF(A7="","",INDEX(Equipo!$C$5:$C$14,3)&amp;"")</f>
        <v>Encargada</v>
      </c>
      <c r="C7" s="33" t="str">
        <f aca="false">IF(A7="","",INDEX(Equipo!$D$5:$D$14,3)&amp;"")</f>
        <v>Turnos</v>
      </c>
      <c r="D7" s="33" t="str">
        <f aca="false">IF(A7="","",IF(C7="Horas",TEXT(Semana!J21,"[h]:mm")&amp;" hs",Semana!K21&amp;IF(Semana!K21=1," turno"," turnos")))</f>
        <v>9 turnos</v>
      </c>
      <c r="E7" s="33" t="str">
        <f aca="false">IF(A7="","",IF(Semana!L21=0,"–",IF(C7="Horas",TEXT(Semana!L21*Semana!R21,"[h]:mm")&amp;" hs ("&amp;Semana!L21&amp;IF(Semana!L21=1," día)"," días)"),Semana!L21&amp;IF(Semana!L21=1," turno"," turnos"))))</f>
        <v>1 turno</v>
      </c>
      <c r="F7" s="33" t="str">
        <f aca="false">IF(A7="","",Semana!M21)</f>
        <v>2 turnos</v>
      </c>
      <c r="G7" s="33" t="str">
        <f aca="false">IF(A7="","",IF(Semana!N21=0,"–",Semana!N21&amp;IF(Semana!N21=1," día"," días")))</f>
        <v>–</v>
      </c>
      <c r="H7" s="33" t="str">
        <f aca="false">IF(A7="","",IF(COUNTIF(Semana!C25:I25,"Vacaciones")=0,"–",COUNTIF(Semana!C25:I25,"Vacaciones")&amp;" días"))</f>
        <v>–</v>
      </c>
      <c r="I7" s="34" t="str">
        <f aca="false">IF(A7="","",Semana!O21)</f>
        <v>12 turnos</v>
      </c>
      <c r="J7" s="35"/>
    </row>
    <row r="8" customFormat="false" ht="15" hidden="false" customHeight="false" outlineLevel="0" collapsed="false">
      <c r="A8" s="32" t="str">
        <f aca="false">Semana!A28</f>
        <v>Nicolás Paz</v>
      </c>
      <c r="B8" s="33" t="str">
        <f aca="false">IF(A8="","",INDEX(Equipo!$C$5:$C$14,4)&amp;"")</f>
        <v>Staff</v>
      </c>
      <c r="C8" s="33" t="str">
        <f aca="false">IF(A8="","",INDEX(Equipo!$D$5:$D$14,4)&amp;"")</f>
        <v>Horas</v>
      </c>
      <c r="D8" s="33" t="str">
        <f aca="false">IF(A8="","",IF(C8="Horas",TEXT(Semana!J28,"[h]:mm")&amp;" hs",Semana!K28&amp;IF(Semana!K28=1," turno"," turnos")))</f>
        <v>33:00 hs</v>
      </c>
      <c r="E8" s="33" t="str">
        <f aca="false">IF(A8="","",IF(Semana!L28=0,"–",IF(C8="Horas",TEXT(Semana!L28*Semana!R28,"[h]:mm")&amp;" hs ("&amp;Semana!L28&amp;IF(Semana!L28=1," día)"," días)"),Semana!L28&amp;IF(Semana!L28=1," turno"," turnos"))))</f>
        <v>4:30 hs (1 día)</v>
      </c>
      <c r="F8" s="33" t="str">
        <f aca="false">IF(A8="","",Semana!M28)</f>
        <v>5:00 hs</v>
      </c>
      <c r="G8" s="33" t="str">
        <f aca="false">IF(A8="","",IF(Semana!N28=0,"–",Semana!N28&amp;IF(Semana!N28=1," día"," días")))</f>
        <v>–</v>
      </c>
      <c r="H8" s="33" t="str">
        <f aca="false">IF(A8="","",IF(COUNTIF(Semana!C32:I32,"Vacaciones")=0,"–",COUNTIF(Semana!C32:I32,"Vacaciones")&amp;" días"))</f>
        <v>–</v>
      </c>
      <c r="I8" s="34" t="str">
        <f aca="false">IF(A8="","",Semana!O28)</f>
        <v>42:30 hs</v>
      </c>
      <c r="J8" s="35"/>
    </row>
    <row r="9" customFormat="false" ht="15" hidden="false" customHeight="false" outlineLevel="0" collapsed="false">
      <c r="A9" s="32" t="str">
        <f aca="false">Semana!A35</f>
        <v>Paula Medina</v>
      </c>
      <c r="B9" s="33" t="str">
        <f aca="false">IF(A9="","",INDEX(Equipo!$C$5:$C$14,5)&amp;"")</f>
        <v>Staff</v>
      </c>
      <c r="C9" s="33" t="str">
        <f aca="false">IF(A9="","",INDEX(Equipo!$D$5:$D$14,5)&amp;"")</f>
        <v>Horas</v>
      </c>
      <c r="D9" s="33" t="str">
        <f aca="false">IF(A9="","",IF(C9="Horas",TEXT(Semana!J35,"[h]:mm")&amp;" hs",Semana!K35&amp;IF(Semana!K35=1," turno"," turnos")))</f>
        <v>20:30 hs</v>
      </c>
      <c r="E9" s="33" t="str">
        <f aca="false">IF(A9="","",IF(Semana!L35=0,"–",IF(C9="Horas",TEXT(Semana!L35*Semana!R35,"[h]:mm")&amp;" hs ("&amp;Semana!L35&amp;IF(Semana!L35=1," día)"," días)"),Semana!L35&amp;IF(Semana!L35=1," turno"," turnos"))))</f>
        <v>4:30 hs (1 día)</v>
      </c>
      <c r="F9" s="33" t="str">
        <f aca="false">IF(A9="","",Semana!M35)</f>
        <v>–</v>
      </c>
      <c r="G9" s="33" t="str">
        <f aca="false">IF(A9="","",IF(Semana!N35=0,"–",Semana!N35&amp;IF(Semana!N35=1," día"," días")))</f>
        <v>–</v>
      </c>
      <c r="H9" s="33" t="str">
        <f aca="false">IF(A9="","",IF(COUNTIF(Semana!C39:I39,"Vacaciones")=0,"–",COUNTIF(Semana!C39:I39,"Vacaciones")&amp;" días"))</f>
        <v>–</v>
      </c>
      <c r="I9" s="34" t="str">
        <f aca="false">IF(A9="","",Semana!O35)</f>
        <v>25:00 hs</v>
      </c>
      <c r="J9" s="35"/>
    </row>
    <row r="10" customFormat="false" ht="15" hidden="false" customHeight="false" outlineLevel="0" collapsed="false">
      <c r="A10" s="32" t="str">
        <f aca="false">Semana!A42</f>
        <v>Tomás Godoy</v>
      </c>
      <c r="B10" s="33" t="str">
        <f aca="false">IF(A10="","",INDEX(Equipo!$C$5:$C$14,6)&amp;"")</f>
        <v>Staff</v>
      </c>
      <c r="C10" s="33" t="str">
        <f aca="false">IF(A10="","",INDEX(Equipo!$D$5:$D$14,6)&amp;"")</f>
        <v>Horas</v>
      </c>
      <c r="D10" s="33" t="str">
        <f aca="false">IF(A10="","",IF(C10="Horas",TEXT(Semana!J42,"[h]:mm")&amp;" hs",Semana!K42&amp;IF(Semana!K42=1," turno"," turnos")))</f>
        <v>29:00 hs</v>
      </c>
      <c r="E10" s="33" t="str">
        <f aca="false">IF(A10="","",IF(Semana!L42=0,"–",IF(C10="Horas",TEXT(Semana!L42*Semana!R42,"[h]:mm")&amp;" hs ("&amp;Semana!L42&amp;IF(Semana!L42=1," día)"," días)"),Semana!L42&amp;IF(Semana!L42=1," turno"," turnos"))))</f>
        <v>4:30 hs (1 día)</v>
      </c>
      <c r="F10" s="33" t="str">
        <f aca="false">IF(A10="","",Semana!M42)</f>
        <v>6:00 hs</v>
      </c>
      <c r="G10" s="33" t="str">
        <f aca="false">IF(A10="","",IF(Semana!N42=0,"–",Semana!N42&amp;IF(Semana!N42=1," día"," días")))</f>
        <v>1 día</v>
      </c>
      <c r="H10" s="33" t="str">
        <f aca="false">IF(A10="","",IF(COUNTIF(Semana!C46:I46,"Vacaciones")=0,"–",COUNTIF(Semana!C46:I46,"Vacaciones")&amp;" días"))</f>
        <v>–</v>
      </c>
      <c r="I10" s="34" t="str">
        <f aca="false">IF(A10="","",Semana!O42)</f>
        <v>39:30 hs</v>
      </c>
      <c r="J10" s="35"/>
    </row>
    <row r="11" customFormat="false" ht="15" hidden="false" customHeight="false" outlineLevel="0" collapsed="false">
      <c r="A11" s="32" t="str">
        <f aca="false">Semana!A49</f>
        <v>Valentina Sosa</v>
      </c>
      <c r="B11" s="33" t="str">
        <f aca="false">IF(A11="","",INDEX(Equipo!$C$5:$C$14,7)&amp;"")</f>
        <v>Staff</v>
      </c>
      <c r="C11" s="33" t="str">
        <f aca="false">IF(A11="","",INDEX(Equipo!$D$5:$D$14,7)&amp;"")</f>
        <v>Horas</v>
      </c>
      <c r="D11" s="33" t="str">
        <f aca="false">IF(A11="","",IF(C11="Horas",TEXT(Semana!J49,"[h]:mm")&amp;" hs",Semana!K49&amp;IF(Semana!K49=1," turno"," turnos")))</f>
        <v>26:30 hs</v>
      </c>
      <c r="E11" s="33" t="str">
        <f aca="false">IF(A11="","",IF(Semana!L49=0,"–",IF(C11="Horas",TEXT(Semana!L49*Semana!R49,"[h]:mm")&amp;" hs ("&amp;Semana!L49&amp;IF(Semana!L49=1," día)"," días)"),Semana!L49&amp;IF(Semana!L49=1," turno"," turnos"))))</f>
        <v>4:30 hs (1 día)</v>
      </c>
      <c r="F11" s="33" t="str">
        <f aca="false">IF(A11="","",Semana!M49)</f>
        <v>5:00 hs</v>
      </c>
      <c r="G11" s="33" t="str">
        <f aca="false">IF(A11="","",IF(Semana!N49=0,"–",Semana!N49&amp;IF(Semana!N49=1," día"," días")))</f>
        <v>–</v>
      </c>
      <c r="H11" s="33" t="str">
        <f aca="false">IF(A11="","",IF(COUNTIF(Semana!C53:I53,"Vacaciones")=0,"–",COUNTIF(Semana!C53:I53,"Vacaciones")&amp;" días"))</f>
        <v>–</v>
      </c>
      <c r="I11" s="34" t="str">
        <f aca="false">IF(A11="","",Semana!O49)</f>
        <v>36:00 hs</v>
      </c>
      <c r="J11" s="35"/>
    </row>
    <row r="12" customFormat="false" ht="15" hidden="false" customHeight="false" outlineLevel="0" collapsed="false">
      <c r="A12" s="32" t="str">
        <f aca="false">Semana!A56</f>
        <v>Rocío Álvarez</v>
      </c>
      <c r="B12" s="33" t="str">
        <f aca="false">IF(A12="","",INDEX(Equipo!$C$5:$C$14,8)&amp;"")</f>
        <v>Staff</v>
      </c>
      <c r="C12" s="33" t="str">
        <f aca="false">IF(A12="","",INDEX(Equipo!$D$5:$D$14,8)&amp;"")</f>
        <v>Horas</v>
      </c>
      <c r="D12" s="33" t="str">
        <f aca="false">IF(A12="","",IF(C12="Horas",TEXT(Semana!J56,"[h]:mm")&amp;" hs",Semana!K56&amp;IF(Semana!K56=1," turno"," turnos")))</f>
        <v>16:00 hs</v>
      </c>
      <c r="E12" s="33" t="str">
        <f aca="false">IF(A12="","",IF(Semana!L56=0,"–",IF(C12="Horas",TEXT(Semana!L56*Semana!R56,"[h]:mm")&amp;" hs ("&amp;Semana!L56&amp;IF(Semana!L56=1," día)"," días)"),Semana!L56&amp;IF(Semana!L56=1," turno"," turnos"))))</f>
        <v>4:30 hs (1 día)</v>
      </c>
      <c r="F12" s="33" t="str">
        <f aca="false">IF(A12="","",Semana!M56)</f>
        <v>–</v>
      </c>
      <c r="G12" s="33" t="str">
        <f aca="false">IF(A12="","",IF(Semana!N56=0,"–",Semana!N56&amp;IF(Semana!N56=1," día"," días")))</f>
        <v>–</v>
      </c>
      <c r="H12" s="33" t="str">
        <f aca="false">IF(A12="","",IF(COUNTIF(Semana!C60:I60,"Vacaciones")=0,"–",COUNTIF(Semana!C60:I60,"Vacaciones")&amp;" días"))</f>
        <v>3 días</v>
      </c>
      <c r="I12" s="34" t="str">
        <f aca="false">IF(A12="","",Semana!O56)</f>
        <v>20:30 hs</v>
      </c>
      <c r="J12" s="35"/>
    </row>
    <row r="13" customFormat="false" ht="15" hidden="false" customHeight="false" outlineLevel="0" collapsed="false">
      <c r="A13" s="32" t="str">
        <f aca="false">Semana!A63</f>
        <v/>
      </c>
      <c r="B13" s="33" t="str">
        <f aca="false">IF(A13="","",INDEX(Equipo!$C$5:$C$14,9)&amp;"")</f>
        <v/>
      </c>
      <c r="C13" s="33" t="str">
        <f aca="false">IF(A13="","",INDEX(Equipo!$D$5:$D$14,9)&amp;"")</f>
        <v/>
      </c>
      <c r="D13" s="33" t="str">
        <f aca="false">IF(A13="","",IF(C13="Horas",TEXT(Semana!J63,"[h]:mm")&amp;" hs",Semana!K63&amp;IF(Semana!K63=1," turno"," turnos")))</f>
        <v/>
      </c>
      <c r="E13" s="33" t="str">
        <f aca="false">IF(A13="","",IF(Semana!L63=0,"–",IF(C13="Horas",TEXT(Semana!L63*Semana!R63,"[h]:mm")&amp;" hs ("&amp;Semana!L63&amp;IF(Semana!L63=1," día)"," días)"),Semana!L63&amp;IF(Semana!L63=1," turno"," turnos"))))</f>
        <v/>
      </c>
      <c r="F13" s="33" t="str">
        <f aca="false">IF(A13="","",Semana!M63)</f>
        <v/>
      </c>
      <c r="G13" s="33" t="str">
        <f aca="false">IF(A13="","",IF(Semana!N63=0,"–",Semana!N63&amp;IF(Semana!N63=1," día"," días")))</f>
        <v/>
      </c>
      <c r="H13" s="33" t="str">
        <f aca="false">IF(A13="","",IF(COUNTIF(Semana!C67:I67,"Vacaciones")=0,"–",COUNTIF(Semana!C67:I67,"Vacaciones")&amp;" días"))</f>
        <v/>
      </c>
      <c r="I13" s="34" t="str">
        <f aca="false">IF(A13="","",Semana!O63)</f>
        <v/>
      </c>
      <c r="J13" s="35"/>
    </row>
    <row r="14" customFormat="false" ht="15" hidden="false" customHeight="false" outlineLevel="0" collapsed="false">
      <c r="A14" s="32" t="str">
        <f aca="false">Semana!A70</f>
        <v/>
      </c>
      <c r="B14" s="33" t="str">
        <f aca="false">IF(A14="","",INDEX(Equipo!$C$5:$C$14,10)&amp;"")</f>
        <v/>
      </c>
      <c r="C14" s="33" t="str">
        <f aca="false">IF(A14="","",INDEX(Equipo!$D$5:$D$14,10)&amp;"")</f>
        <v/>
      </c>
      <c r="D14" s="33" t="str">
        <f aca="false">IF(A14="","",IF(C14="Horas",TEXT(Semana!J70,"[h]:mm")&amp;" hs",Semana!K70&amp;IF(Semana!K70=1," turno"," turnos")))</f>
        <v/>
      </c>
      <c r="E14" s="33" t="str">
        <f aca="false">IF(A14="","",IF(Semana!L70=0,"–",IF(C14="Horas",TEXT(Semana!L70*Semana!R70,"[h]:mm")&amp;" hs ("&amp;Semana!L70&amp;IF(Semana!L70=1," día)"," días)"),Semana!L70&amp;IF(Semana!L70=1," turno"," turnos"))))</f>
        <v/>
      </c>
      <c r="F14" s="33" t="str">
        <f aca="false">IF(A14="","",Semana!M70)</f>
        <v/>
      </c>
      <c r="G14" s="33" t="str">
        <f aca="false">IF(A14="","",IF(Semana!N70=0,"–",Semana!N70&amp;IF(Semana!N70=1," día"," días")))</f>
        <v/>
      </c>
      <c r="H14" s="33" t="str">
        <f aca="false">IF(A14="","",IF(COUNTIF(Semana!C74:I74,"Vacaciones")=0,"–",COUNTIF(Semana!C74:I74,"Vacaciones")&amp;" días"))</f>
        <v/>
      </c>
      <c r="I14" s="34" t="str">
        <f aca="false">IF(A14="","",Semana!O70)</f>
        <v/>
      </c>
      <c r="J14" s="35"/>
    </row>
    <row r="16" customFormat="false" ht="15" hidden="false" customHeight="false" outlineLevel="0" collapsed="false">
      <c r="A16" s="16" t="s">
        <v>60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4"/>
  </cols>
  <sheetData>
    <row r="1" customFormat="false" ht="19.7" hidden="false" customHeight="false" outlineLevel="0" collapsed="false">
      <c r="A1" s="1" t="s">
        <v>61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36" t="s">
        <v>62</v>
      </c>
    </row>
    <row r="4" customFormat="false" ht="15" hidden="false" customHeight="false" outlineLevel="0" collapsed="false">
      <c r="A4" s="37" t="s">
        <v>63</v>
      </c>
      <c r="B4" s="37" t="s">
        <v>27</v>
      </c>
      <c r="C4" s="37" t="s">
        <v>55</v>
      </c>
      <c r="D4" s="37" t="s">
        <v>35</v>
      </c>
      <c r="E4" s="37" t="s">
        <v>64</v>
      </c>
      <c r="F4" s="37" t="s">
        <v>65</v>
      </c>
    </row>
    <row r="5" customFormat="false" ht="15" hidden="false" customHeight="false" outlineLevel="0" collapsed="false">
      <c r="A5" s="38" t="n">
        <v>1</v>
      </c>
      <c r="B5" s="39" t="s">
        <v>66</v>
      </c>
      <c r="C5" s="39" t="s">
        <v>67</v>
      </c>
      <c r="D5" s="39" t="s">
        <v>30</v>
      </c>
      <c r="E5" s="40" t="n">
        <v>1</v>
      </c>
      <c r="F5" s="39" t="s">
        <v>68</v>
      </c>
    </row>
    <row r="6" customFormat="false" ht="15" hidden="false" customHeight="false" outlineLevel="0" collapsed="false">
      <c r="A6" s="38" t="n">
        <v>2</v>
      </c>
      <c r="B6" s="39" t="s">
        <v>69</v>
      </c>
      <c r="C6" s="39" t="s">
        <v>70</v>
      </c>
      <c r="D6" s="39" t="s">
        <v>30</v>
      </c>
      <c r="E6" s="40" t="n">
        <v>1</v>
      </c>
      <c r="F6" s="39" t="s">
        <v>71</v>
      </c>
    </row>
    <row r="7" customFormat="false" ht="15" hidden="false" customHeight="false" outlineLevel="0" collapsed="false">
      <c r="A7" s="38" t="n">
        <v>3</v>
      </c>
      <c r="B7" s="39" t="s">
        <v>72</v>
      </c>
      <c r="C7" s="39" t="s">
        <v>67</v>
      </c>
      <c r="D7" s="39" t="s">
        <v>30</v>
      </c>
      <c r="E7" s="40" t="n">
        <v>1</v>
      </c>
      <c r="F7" s="39" t="s">
        <v>73</v>
      </c>
    </row>
    <row r="8" customFormat="false" ht="15" hidden="false" customHeight="false" outlineLevel="0" collapsed="false">
      <c r="A8" s="38" t="n">
        <v>4</v>
      </c>
      <c r="B8" s="39" t="s">
        <v>74</v>
      </c>
      <c r="C8" s="39" t="s">
        <v>75</v>
      </c>
      <c r="D8" s="39" t="s">
        <v>76</v>
      </c>
      <c r="E8" s="41" t="n">
        <v>0.1875</v>
      </c>
      <c r="F8" s="39" t="s">
        <v>77</v>
      </c>
    </row>
    <row r="9" customFormat="false" ht="15" hidden="false" customHeight="false" outlineLevel="0" collapsed="false">
      <c r="A9" s="38" t="n">
        <v>5</v>
      </c>
      <c r="B9" s="39" t="s">
        <v>78</v>
      </c>
      <c r="C9" s="39" t="s">
        <v>75</v>
      </c>
      <c r="D9" s="39" t="s">
        <v>76</v>
      </c>
      <c r="E9" s="41" t="n">
        <v>0.1875</v>
      </c>
      <c r="F9" s="39" t="s">
        <v>79</v>
      </c>
    </row>
    <row r="10" customFormat="false" ht="15" hidden="false" customHeight="false" outlineLevel="0" collapsed="false">
      <c r="A10" s="38" t="n">
        <v>6</v>
      </c>
      <c r="B10" s="39" t="s">
        <v>80</v>
      </c>
      <c r="C10" s="39" t="s">
        <v>75</v>
      </c>
      <c r="D10" s="39" t="s">
        <v>76</v>
      </c>
      <c r="E10" s="41" t="n">
        <v>0.1875</v>
      </c>
      <c r="F10" s="39" t="s">
        <v>81</v>
      </c>
    </row>
    <row r="11" customFormat="false" ht="15" hidden="false" customHeight="false" outlineLevel="0" collapsed="false">
      <c r="A11" s="38" t="n">
        <v>7</v>
      </c>
      <c r="B11" s="39" t="s">
        <v>82</v>
      </c>
      <c r="C11" s="39" t="s">
        <v>75</v>
      </c>
      <c r="D11" s="39" t="s">
        <v>76</v>
      </c>
      <c r="E11" s="41" t="n">
        <v>0.1875</v>
      </c>
      <c r="F11" s="39" t="s">
        <v>83</v>
      </c>
    </row>
    <row r="12" customFormat="false" ht="15" hidden="false" customHeight="false" outlineLevel="0" collapsed="false">
      <c r="A12" s="38" t="n">
        <v>8</v>
      </c>
      <c r="B12" s="39" t="s">
        <v>84</v>
      </c>
      <c r="C12" s="39" t="s">
        <v>75</v>
      </c>
      <c r="D12" s="39" t="s">
        <v>76</v>
      </c>
      <c r="E12" s="41" t="n">
        <v>0.1875</v>
      </c>
      <c r="F12" s="39" t="s">
        <v>85</v>
      </c>
    </row>
    <row r="13" customFormat="false" ht="15" hidden="false" customHeight="false" outlineLevel="0" collapsed="false">
      <c r="A13" s="38" t="n">
        <v>9</v>
      </c>
      <c r="B13" s="39"/>
      <c r="C13" s="39"/>
      <c r="D13" s="39"/>
      <c r="E13" s="39"/>
      <c r="F13" s="39"/>
    </row>
    <row r="14" customFormat="false" ht="15" hidden="false" customHeight="false" outlineLevel="0" collapsed="false">
      <c r="A14" s="38" t="n">
        <v>10</v>
      </c>
      <c r="B14" s="39"/>
      <c r="C14" s="39"/>
      <c r="D14" s="39"/>
      <c r="E14" s="39"/>
      <c r="F14" s="39"/>
    </row>
    <row r="16" customFormat="false" ht="15" hidden="false" customHeight="false" outlineLevel="0" collapsed="false">
      <c r="B16" s="16" t="s">
        <v>86</v>
      </c>
    </row>
  </sheetData>
  <mergeCells count="1">
    <mergeCell ref="A1:F1"/>
  </mergeCells>
  <dataValidations count="1">
    <dataValidation allowBlank="true" error="Elegí Horas o Turnos." errorStyle="stop" errorTitle="Cobra por" operator="between" showDropDown="false" showErrorMessage="true" showInputMessage="false" sqref="D5:D14" type="list">
      <formula1>"Horas,Turnos"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0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1" t="s">
        <v>87</v>
      </c>
      <c r="B1" s="1"/>
      <c r="C1" s="1"/>
    </row>
    <row r="2" customFormat="false" ht="15" hidden="false" customHeight="false" outlineLevel="0" collapsed="false">
      <c r="A2" s="22" t="s">
        <v>88</v>
      </c>
    </row>
    <row r="4" customFormat="false" ht="15" hidden="false" customHeight="false" outlineLevel="0" collapsed="false">
      <c r="A4" s="37" t="s">
        <v>89</v>
      </c>
      <c r="B4" s="37" t="s">
        <v>90</v>
      </c>
      <c r="C4" s="37" t="s">
        <v>91</v>
      </c>
    </row>
    <row r="5" customFormat="false" ht="15" hidden="false" customHeight="false" outlineLevel="0" collapsed="false">
      <c r="A5" s="42" t="n">
        <v>46023</v>
      </c>
      <c r="B5" s="43" t="s">
        <v>92</v>
      </c>
      <c r="C5" s="43" t="s">
        <v>32</v>
      </c>
    </row>
    <row r="6" customFormat="false" ht="15" hidden="false" customHeight="false" outlineLevel="0" collapsed="false">
      <c r="A6" s="42" t="n">
        <v>46069</v>
      </c>
      <c r="B6" s="43" t="s">
        <v>93</v>
      </c>
      <c r="C6" s="43" t="s">
        <v>32</v>
      </c>
    </row>
    <row r="7" customFormat="false" ht="15" hidden="false" customHeight="false" outlineLevel="0" collapsed="false">
      <c r="A7" s="42" t="n">
        <v>46070</v>
      </c>
      <c r="B7" s="43" t="s">
        <v>93</v>
      </c>
      <c r="C7" s="43" t="s">
        <v>32</v>
      </c>
    </row>
    <row r="8" customFormat="false" ht="15" hidden="false" customHeight="false" outlineLevel="0" collapsed="false">
      <c r="A8" s="42" t="n">
        <v>46104</v>
      </c>
      <c r="B8" s="43" t="s">
        <v>94</v>
      </c>
      <c r="C8" s="43" t="s">
        <v>95</v>
      </c>
    </row>
    <row r="9" customFormat="false" ht="15" hidden="false" customHeight="false" outlineLevel="0" collapsed="false">
      <c r="A9" s="42" t="n">
        <v>46105</v>
      </c>
      <c r="B9" s="43" t="s">
        <v>96</v>
      </c>
      <c r="C9" s="43" t="s">
        <v>32</v>
      </c>
    </row>
    <row r="10" customFormat="false" ht="15" hidden="false" customHeight="false" outlineLevel="0" collapsed="false">
      <c r="A10" s="42" t="n">
        <v>46114</v>
      </c>
      <c r="B10" s="43" t="s">
        <v>97</v>
      </c>
      <c r="C10" s="43" t="s">
        <v>32</v>
      </c>
    </row>
    <row r="11" customFormat="false" ht="15" hidden="false" customHeight="false" outlineLevel="0" collapsed="false">
      <c r="A11" s="42" t="n">
        <v>46115</v>
      </c>
      <c r="B11" s="43" t="s">
        <v>98</v>
      </c>
      <c r="C11" s="43" t="s">
        <v>32</v>
      </c>
    </row>
    <row r="12" customFormat="false" ht="15" hidden="false" customHeight="false" outlineLevel="0" collapsed="false">
      <c r="A12" s="42" t="n">
        <v>46143</v>
      </c>
      <c r="B12" s="43" t="s">
        <v>99</v>
      </c>
      <c r="C12" s="43" t="s">
        <v>32</v>
      </c>
    </row>
    <row r="13" customFormat="false" ht="15" hidden="false" customHeight="false" outlineLevel="0" collapsed="false">
      <c r="A13" s="42" t="n">
        <v>46167</v>
      </c>
      <c r="B13" s="43" t="s">
        <v>100</v>
      </c>
      <c r="C13" s="43" t="s">
        <v>32</v>
      </c>
    </row>
    <row r="14" customFormat="false" ht="15" hidden="false" customHeight="false" outlineLevel="0" collapsed="false">
      <c r="A14" s="42" t="n">
        <v>46188</v>
      </c>
      <c r="B14" s="43" t="s">
        <v>101</v>
      </c>
      <c r="C14" s="43" t="s">
        <v>32</v>
      </c>
    </row>
    <row r="15" customFormat="false" ht="15" hidden="false" customHeight="false" outlineLevel="0" collapsed="false">
      <c r="A15" s="42" t="n">
        <v>46193</v>
      </c>
      <c r="B15" s="43" t="s">
        <v>102</v>
      </c>
      <c r="C15" s="43" t="s">
        <v>32</v>
      </c>
    </row>
    <row r="16" customFormat="false" ht="15" hidden="false" customHeight="false" outlineLevel="0" collapsed="false">
      <c r="A16" s="42" t="n">
        <v>46212</v>
      </c>
      <c r="B16" s="43" t="s">
        <v>103</v>
      </c>
      <c r="C16" s="43" t="s">
        <v>32</v>
      </c>
    </row>
    <row r="17" customFormat="false" ht="15" hidden="false" customHeight="false" outlineLevel="0" collapsed="false">
      <c r="A17" s="42" t="n">
        <v>46213</v>
      </c>
      <c r="B17" s="43" t="s">
        <v>94</v>
      </c>
      <c r="C17" s="43" t="s">
        <v>95</v>
      </c>
    </row>
    <row r="18" customFormat="false" ht="15" hidden="false" customHeight="false" outlineLevel="0" collapsed="false">
      <c r="A18" s="42" t="n">
        <v>46251</v>
      </c>
      <c r="B18" s="43" t="s">
        <v>104</v>
      </c>
      <c r="C18" s="43" t="s">
        <v>32</v>
      </c>
    </row>
    <row r="19" customFormat="false" ht="15" hidden="false" customHeight="false" outlineLevel="0" collapsed="false">
      <c r="A19" s="42" t="n">
        <v>46307</v>
      </c>
      <c r="B19" s="43" t="s">
        <v>105</v>
      </c>
      <c r="C19" s="43" t="s">
        <v>32</v>
      </c>
    </row>
    <row r="20" customFormat="false" ht="15" hidden="false" customHeight="false" outlineLevel="0" collapsed="false">
      <c r="A20" s="42" t="n">
        <v>46349</v>
      </c>
      <c r="B20" s="43" t="s">
        <v>106</v>
      </c>
      <c r="C20" s="43" t="s">
        <v>32</v>
      </c>
    </row>
    <row r="21" customFormat="false" ht="15" hidden="false" customHeight="false" outlineLevel="0" collapsed="false">
      <c r="A21" s="42" t="n">
        <v>46363</v>
      </c>
      <c r="B21" s="43" t="s">
        <v>94</v>
      </c>
      <c r="C21" s="43" t="s">
        <v>95</v>
      </c>
    </row>
    <row r="22" customFormat="false" ht="15" hidden="false" customHeight="false" outlineLevel="0" collapsed="false">
      <c r="A22" s="42" t="n">
        <v>46364</v>
      </c>
      <c r="B22" s="43" t="s">
        <v>107</v>
      </c>
      <c r="C22" s="43" t="s">
        <v>32</v>
      </c>
    </row>
    <row r="23" customFormat="false" ht="15" hidden="false" customHeight="false" outlineLevel="0" collapsed="false">
      <c r="A23" s="42" t="n">
        <v>46381</v>
      </c>
      <c r="B23" s="43" t="s">
        <v>108</v>
      </c>
      <c r="C23" s="43" t="s">
        <v>32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2026-10-26T13:42:30Z</dcterms:created>
  <dc:creator>GESTLOK</dc:creator>
  <dc:description/>
  <dc:language>en-US</dc:language>
  <cp:lastModifiedBy/>
  <dcterms:modified xsi:type="dcterms:W3CDTF">2026-10-26T13:42:30Z</dcterms:modified>
  <cp:revision>0</cp:revision>
  <dc:subject/>
  <dc:title>Planilla semanal de horarios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